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eedback" sheetId="1" state="visible" r:id="rId1"/>
    <sheet name="Overview" sheetId="2" state="visible" r:id="rId2"/>
    <sheet name="Inventory" sheetId="3" state="visible" r:id="rId3"/>
    <sheet name="Build Backlog" sheetId="4" state="visible" r:id="rId4"/>
    <sheet name="Explore Call Cert" sheetId="5" state="visible" r:id="rId5"/>
    <sheet name="Pitch Deck Cert" sheetId="6" state="visible" r:id="rId6"/>
    <sheet name="New Hire Tracker" sheetId="7" state="visible" r:id="rId7"/>
    <sheet name="Who to Meet" sheetId="8" state="visible" r:id="rId8"/>
  </sheets>
  <definedNames>
    <definedName name="_xlnm._FilterDatabase" localSheetId="2" hidden="1">'Inventory'!$A$3:$M$86</definedName>
    <definedName name="_xlnm._FilterDatabase" localSheetId="3" hidden="1">'Build Backlog'!$A$3:$K$35</definedName>
    <definedName name="_xlnm._FilterDatabase" localSheetId="7" hidden="1">'Who to Meet'!$A$3:$D$21</definedName>
  </definedNames>
  <calcPr calcId="124519" fullCalcOnLoad="1"/>
</workbook>
</file>

<file path=xl/styles.xml><?xml version="1.0" encoding="utf-8"?>
<styleSheet xmlns="http://schemas.openxmlformats.org/spreadsheetml/2006/main">
  <numFmts count="2">
    <numFmt numFmtId="164" formatCode="yyyy-mm-dd"/>
    <numFmt numFmtId="165" formatCode="ddd d mmm"/>
  </numFmts>
  <fonts count="7">
    <font>
      <name val="Calibri"/>
      <family val="2"/>
      <color theme="1"/>
      <sz val="11"/>
      <scheme val="minor"/>
    </font>
    <font>
      <b val="1"/>
      <color rgb="000B1F3A"/>
      <sz val="16"/>
    </font>
    <font>
      <i val="1"/>
      <color rgb="0052514E"/>
    </font>
    <font>
      <b val="1"/>
      <color rgb="00FFFFFF"/>
    </font>
    <font>
      <b val="1"/>
      <color rgb="000B1F3A"/>
      <sz val="18"/>
    </font>
    <font>
      <b val="1"/>
    </font>
    <font>
      <b val="1"/>
      <color rgb="000B1F3A"/>
      <sz val="14"/>
    </font>
  </fonts>
  <fills count="5">
    <fill>
      <patternFill/>
    </fill>
    <fill>
      <patternFill patternType="gray125"/>
    </fill>
    <fill>
      <patternFill patternType="solid">
        <fgColor rgb="000B1F3A"/>
      </patternFill>
    </fill>
    <fill>
      <patternFill patternType="solid">
        <fgColor rgb="002A78D6"/>
      </patternFill>
    </fill>
    <fill>
      <patternFill patternType="solid">
        <fgColor rgb="00EAF2FC"/>
      </patternFill>
    </fill>
  </fills>
  <borders count="2">
    <border>
      <left/>
      <right/>
      <top/>
      <bottom/>
      <diagonal/>
    </border>
    <border>
      <bottom style="thin">
        <color rgb="00D9D9D6"/>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3" fillId="3" borderId="0" applyAlignment="1" pivotButton="0" quotePrefix="0" xfId="0">
      <alignment vertical="center" wrapText="1"/>
    </xf>
    <xf numFmtId="0" fontId="0" fillId="0" borderId="1" applyAlignment="1" pivotButton="0" quotePrefix="0" xfId="0">
      <alignment vertical="top" wrapText="1"/>
    </xf>
    <xf numFmtId="0" fontId="0" fillId="4" borderId="0" pivotButton="0" quotePrefix="0" xfId="0"/>
    <xf numFmtId="0" fontId="4" fillId="0" borderId="0" pivotButton="0" quotePrefix="0" xfId="0"/>
    <xf numFmtId="0" fontId="5" fillId="0" borderId="0" pivotButton="0" quotePrefix="0" xfId="0"/>
    <xf numFmtId="0" fontId="3" fillId="2" borderId="0" pivotButton="0" quotePrefix="0" xfId="0"/>
    <xf numFmtId="0" fontId="0" fillId="0" borderId="0" applyAlignment="1" pivotButton="0" quotePrefix="0" xfId="0">
      <alignment vertical="top" wrapText="1"/>
    </xf>
    <xf numFmtId="0" fontId="0" fillId="4" borderId="1" applyAlignment="1" pivotButton="0" quotePrefix="0" xfId="0">
      <alignment vertical="top" wrapText="1"/>
    </xf>
    <xf numFmtId="0" fontId="6" fillId="0" borderId="0" pivotButton="0" quotePrefix="0" xfId="0"/>
    <xf numFmtId="9" fontId="6"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dxfs count="3">
    <dxf>
      <fill>
        <patternFill patternType="solid">
          <fgColor rgb="00DFF3DF"/>
        </patternFill>
      </fill>
    </dxf>
    <dxf>
      <fill>
        <patternFill patternType="solid">
          <fgColor rgb="00FDF0CF"/>
        </patternFill>
      </fill>
    </dxf>
    <dxf>
      <fill>
        <patternFill patternType="solid">
          <fgColor rgb="00F8DC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16" customWidth="1" min="1" max="1"/>
    <col width="40" customWidth="1" min="2" max="2"/>
    <col width="90" customWidth="1" min="3" max="3"/>
    <col width="16" customWidth="1" min="4" max="4"/>
    <col width="50" customWidth="1" min="5" max="5"/>
  </cols>
  <sheetData>
    <row r="1">
      <c r="A1" s="1" t="inlineStr">
        <is>
          <t>Review the programme: what should we keep, change or cut?</t>
        </is>
      </c>
    </row>
    <row r="2">
      <c r="A2" s="2" t="inlineStr">
        <is>
          <t>Fill in the blue columns here for big-picture decisions, and the blue columns on the Inventory and Build Backlog tabs for individual sessions.</t>
        </is>
      </c>
    </row>
    <row r="4">
      <c r="A4" s="3" t="inlineStr">
        <is>
          <t>Area</t>
        </is>
      </c>
      <c r="B4" s="3" t="inlineStr">
        <is>
          <t>Item</t>
        </is>
      </c>
      <c r="C4" s="3" t="inlineStr">
        <is>
          <t>Detail</t>
        </is>
      </c>
      <c r="D4" s="4" t="inlineStr">
        <is>
          <t>Keep / Change / Cut</t>
        </is>
      </c>
      <c r="E4" s="4" t="inlineStr">
        <is>
          <t>Your feedback</t>
        </is>
      </c>
    </row>
    <row r="5">
      <c r="A5" s="5" t="inlineStr">
        <is>
          <t>Phases</t>
        </is>
      </c>
      <c r="B5" s="5" t="inlineStr">
        <is>
          <t>Pre-board (Before Day 1)</t>
        </is>
      </c>
      <c r="C5" s="5" t="inlineStr">
        <is>
          <t>Arrive ready: Day 1 is about people, not passwords. Tools, plan and buddy are in place before the AE walks in. Target selling time 0%.</t>
        </is>
      </c>
      <c r="D5" s="6" t="n"/>
      <c r="E5" s="6" t="n"/>
    </row>
    <row r="6">
      <c r="A6" s="5" t="inlineStr">
        <is>
          <t>Phases</t>
        </is>
      </c>
      <c r="B6" s="5" t="inlineStr">
        <is>
          <t>Land (Days 1–14)</t>
        </is>
      </c>
      <c r="C6" s="5" t="inlineStr">
        <is>
          <t>Belong &amp; orient: Understand how Checkout sells, who's who, the territory and the rules of engagement. Payments is told as a story first, then studied as a curriculum. Target selling time ≤10%.</t>
        </is>
      </c>
      <c r="D6" s="6" t="n"/>
      <c r="E6" s="6" t="n"/>
    </row>
    <row r="7">
      <c r="A7" s="5" t="inlineStr">
        <is>
          <t>Phases</t>
        </is>
      </c>
      <c r="B7" s="5" t="inlineStr">
        <is>
          <t>Learn (Days 15–30)</t>
        </is>
      </c>
      <c r="C7" s="5" t="inlineStr">
        <is>
          <t>Payments &amp; product fluency: Explain all five pillars in a merchant's language, see each pillar in live deals, and start call reviews and account planning. Target selling time 20%.</t>
        </is>
      </c>
      <c r="D7" s="6" t="n"/>
      <c r="E7" s="6" t="n"/>
    </row>
    <row r="8">
      <c r="A8" s="5" t="inlineStr">
        <is>
          <t>Phases</t>
        </is>
      </c>
      <c r="B8" s="5" t="inlineStr">
        <is>
          <t>Practice (Days 31–60)</t>
        </is>
      </c>
      <c r="C8" s="5" t="inlineStr">
        <is>
          <t>Verticals, process &amp; discovery: Go deep on NORAM verticals and the deal machine (deal desk, underwriting, partners), then prove discovery skills in the Day 60 Explore stack. Target selling time 50%.</t>
        </is>
      </c>
      <c r="D8" s="6" t="n"/>
      <c r="E8" s="6" t="n"/>
    </row>
    <row r="9">
      <c r="A9" s="5" t="inlineStr">
        <is>
          <t>Phases</t>
        </is>
      </c>
      <c r="B9" s="5" t="inlineStr">
        <is>
          <t>Perform (Days 61–90)</t>
        </is>
      </c>
      <c r="C9" s="5" t="inlineStr">
        <is>
          <t>Price, propose &amp; close: Price a deal, build a business case and present a tailored Checkout pitch. Graduation is the Day 90 Pitch Deck Certification. Target selling time 70%.</t>
        </is>
      </c>
      <c r="D9" s="6" t="n"/>
      <c r="E9" s="6" t="n"/>
    </row>
    <row r="10">
      <c r="A10" s="5" t="inlineStr">
        <is>
          <t>Phases</t>
        </is>
      </c>
      <c r="B10" s="5" t="inlineStr">
        <is>
          <t>Everboard (Day 90+)</t>
        </is>
      </c>
      <c r="C10" s="5" t="inlineStr">
        <is>
          <t>Keep growing: Recurring skills sessions, call clinics and yearly recertification keep tenured AEs sharp. Target selling time 90%+.</t>
        </is>
      </c>
      <c r="D10" s="6" t="n"/>
      <c r="E10" s="6" t="n"/>
    </row>
    <row r="11">
      <c r="A11" s="5" t="inlineStr">
        <is>
          <t>Gates</t>
        </is>
      </c>
      <c r="B11" s="5" t="inlineStr">
        <is>
          <t>Day 30: Day 30 Checkpoint</t>
        </is>
      </c>
      <c r="C11" s="5" t="inlineStr">
        <is>
          <t>Elevator pitch sign-off + five-pillar knowledge check. Pass: Pitch approved by manager · ≥ 80% on the pillar knowledge check.</t>
        </is>
      </c>
      <c r="D11" s="6" t="n"/>
      <c r="E11" s="6" t="n"/>
    </row>
    <row r="12">
      <c r="A12" s="5" t="inlineStr">
        <is>
          <t>Gates</t>
        </is>
      </c>
      <c r="B12" s="5" t="inlineStr">
        <is>
          <t>Day 60: Explore Call Certification</t>
        </is>
      </c>
      <c r="C12" s="5" t="inlineStr">
        <is>
          <t>Live simulated Explore call with a payments persona, scored on a 7-part rubric. Pass: ≥ 80% overall and no section below 3/5.</t>
        </is>
      </c>
      <c r="D12" s="6" t="n"/>
      <c r="E12" s="6" t="n"/>
    </row>
    <row r="13">
      <c r="A13" s="5" t="inlineStr">
        <is>
          <t>Gates</t>
        </is>
      </c>
      <c r="B13" s="5" t="inlineStr">
        <is>
          <t>Day 90: Pitch Deck Certification</t>
        </is>
      </c>
      <c r="C13" s="5" t="inlineStr">
        <is>
          <t>Tailored pitch deck for a real territory account, presented to a panel. Pass: ≥ 80% overall and no section below 3/5.</t>
        </is>
      </c>
      <c r="D13" s="6" t="n"/>
      <c r="E13" s="6" t="n"/>
    </row>
    <row r="14">
      <c r="A14" s="5" t="inlineStr">
        <is>
          <t>Stacks</t>
        </is>
      </c>
      <c r="B14" s="5" t="inlineStr">
        <is>
          <t>Day 60 stack: Explore Week</t>
        </is>
      </c>
      <c r="C14" s="5" t="inlineStr">
        <is>
          <t>Days 56–60 · Week 9. By Day 60 an AE has the product fluency, verticals and first conversations to make discovery stick. Stacking everything about Explore into one week, right before the certification, helps the skill stick and avoids spreading it thin across two months. Objectives: Open an Explore call with an agenda and an upfront contract that the buyer agrees to; Run a DEPTH questioning funnel that uncovers payments pain: auth rates, fraud and disputes, cost, APM coverage, payouts; Quantify at least one pain point in the merchant's own numbers; Map the pains you hear to the right Checkout pillar, without pitching too early; Summarise, confirm and secure a committed next step with a date.</t>
        </is>
      </c>
      <c r="D14" s="6" t="n"/>
      <c r="E14" s="6" t="n"/>
    </row>
    <row r="15">
      <c r="A15" s="5" t="inlineStr">
        <is>
          <t>Stacks</t>
        </is>
      </c>
      <c r="B15" s="5" t="inlineStr">
        <is>
          <t>Day 90 stack: Propose Week</t>
        </is>
      </c>
      <c r="C15" s="5" t="inlineStr">
        <is>
          <t>Days 86–90 · Week 13. Propose builds on pricing, deal structure and payments economics. Those land in Weeks 10–12, so the AE comes into Week 13 ready to build and defend a real deck. The certification doubles as graduation from onboarding. Objectives: Build a deck storyline for a real territory account: insight → value → proof → plan; Present a business case grounded in the merchant's data, with pricing positioned in line with guidance; Use proof points (case studies, NPS, references) for the right vertical; Handle competitive and pricing objections with the defense playbook; Close the presentation with a mutual action plan.</t>
        </is>
      </c>
      <c r="D15" s="6" t="n"/>
      <c r="E15" s="6" t="n"/>
    </row>
    <row r="16">
      <c r="A16" s="5" t="inlineStr">
        <is>
          <t>Certifications</t>
        </is>
      </c>
      <c r="B16" s="5" t="inlineStr">
        <is>
          <t>Explore Call Certification</t>
        </is>
      </c>
      <c r="C16" s="5" t="inlineStr">
        <is>
          <t>A 30-minute live, simulated Explore call. The assessor plays a scripted payments persona (e.g. Head of Payments at a mid-market subscription merchant). Recorded in Clari. Assessors: Pod lead + Enablement (calibrated on the same rubric). Pass: ≥ 80% overall (28/35) and no section below 3/5. One retake within 10 working days, with coaching. Rubric: Pre-call research &amp; hypothesis; Opening &amp; upfront contract; DEPTH questioning funnel; Payments pain quantified; Pillar mapping; Listening &amp; summarising; Committed next step.</t>
        </is>
      </c>
      <c r="D16" s="6" t="n"/>
      <c r="E16" s="6" t="n"/>
    </row>
    <row r="17">
      <c r="A17" s="5" t="inlineStr">
        <is>
          <t>Certifications</t>
        </is>
      </c>
      <c r="B17" s="5" t="inlineStr">
        <is>
          <t>Pitch Deck Certification</t>
        </is>
      </c>
      <c r="C17" s="5" t="inlineStr">
        <is>
          <t>A tailored deck for a real territory account: a 20-minute presentation plus 10 minutes of panel Q&amp;A, with the panel playing the buying committee. Assessors: Pod lead, Solutions Engineer, Enablement, plus a guest leader. Pass: ≥ 80% overall (32/40) and no section below 3/5. Exemplary decks go into the Great Decks library. Rubric: Merchant insight; Value narrative; Business case; Proof; Competitive differentiation; Pricing narrative; Mutual action plan; Executive presence &amp; Q&amp;A.</t>
        </is>
      </c>
      <c r="D17" s="6" t="n"/>
      <c r="E17" s="6" t="n"/>
    </row>
    <row r="18">
      <c r="A18" s="5" t="inlineStr">
        <is>
          <t>What changes</t>
        </is>
      </c>
      <c r="B18" s="5" t="inlineStr">
        <is>
          <t>Payments Academy starts on Day 2, with about 5 hours in Week 1</t>
        </is>
      </c>
      <c r="C18" s="5" t="inlineStr">
        <is>
          <t>New: A 60-minute payments story on Day 1–5, then Payments Academy paced from Week 2 with live debriefs</t>
        </is>
      </c>
      <c r="D18" s="6" t="n"/>
      <c r="E18" s="6" t="n"/>
    </row>
    <row r="19">
      <c r="A19" s="5" t="inlineStr">
        <is>
          <t>What changes</t>
        </is>
      </c>
      <c r="B19" s="5" t="inlineStr">
        <is>
          <t>Generic 'pillar sales perspective' sessions</t>
        </is>
      </c>
      <c r="C19" s="5" t="inlineStr">
        <is>
          <t>New: 30-minute 'pillars in live deals' walk-throughs built on vertical use cases</t>
        </is>
      </c>
      <c r="D19" s="6" t="n"/>
      <c r="E19" s="6" t="n"/>
    </row>
    <row r="20">
      <c r="A20" s="5" t="inlineStr">
        <is>
          <t>What changes</t>
        </is>
      </c>
      <c r="B20" s="5" t="inlineStr">
        <is>
          <t>Call reviews begin in Week 1</t>
        </is>
      </c>
      <c r="C20" s="5" t="inlineStr">
        <is>
          <t>New: A weekly call-review hour from Week 3, once there's context to learn from</t>
        </is>
      </c>
      <c r="D20" s="6" t="n"/>
      <c r="E20" s="6" t="n"/>
    </row>
    <row r="21">
      <c r="A21" s="5" t="inlineStr">
        <is>
          <t>What changes</t>
        </is>
      </c>
      <c r="B21" s="5" t="inlineStr">
        <is>
          <t>No formal skill gates after the elevator pitch</t>
        </is>
      </c>
      <c r="C21" s="5" t="inlineStr">
        <is>
          <t>New: Three gates: the Day 30 Checkpoint, Explore Certification at Day 60 and Pitch Deck Certification at Day 90</t>
        </is>
      </c>
      <c r="D21" s="6" t="n"/>
      <c r="E21" s="6" t="n"/>
    </row>
    <row r="22">
      <c r="A22" s="5" t="inlineStr">
        <is>
          <t>What changes</t>
        </is>
      </c>
      <c r="B22" s="5" t="inlineStr">
        <is>
          <t>Topics spread evenly across Months 2–3</t>
        </is>
      </c>
      <c r="C22" s="5" t="inlineStr">
        <is>
          <t>New: Learning stacked into an Explore Week (Day 60) and a Propose Week (Day 90), each with focused objectives</t>
        </is>
      </c>
      <c r="D22" s="6" t="n"/>
      <c r="E22" s="6" t="n"/>
    </row>
    <row r="23">
      <c r="A23" s="5" t="inlineStr">
        <is>
          <t>What changes</t>
        </is>
      </c>
      <c r="B23" s="5" t="inlineStr">
        <is>
          <t>Pricing, payments economics and negotiation sessions not scheduled</t>
        </is>
      </c>
      <c r="C23" s="5" t="inlineStr">
        <is>
          <t>New: Sequenced in Weeks 10–11, so they land just before the Propose stack that uses them</t>
        </is>
      </c>
      <c r="D23" s="6" t="n"/>
      <c r="E23" s="6" t="n"/>
    </row>
    <row r="24">
      <c r="A24" s="5" t="inlineStr">
        <is>
          <t>What changes</t>
        </is>
      </c>
      <c r="B24" s="5" t="inlineStr">
        <is>
          <t>A separate plan, repository and tracker per cohort</t>
        </is>
      </c>
      <c r="C24" s="5" t="inlineStr">
        <is>
          <t>New: One programme map, one session inventory and one personal tracker per AE</t>
        </is>
      </c>
      <c r="D24" s="6" t="n"/>
      <c r="E24" s="6" t="n"/>
    </row>
    <row r="25">
      <c r="A25" s="5" t="inlineStr">
        <is>
          <t>Success measures</t>
        </is>
      </c>
      <c r="B25" s="5" t="inlineStr">
        <is>
          <t>Time to first meeting booked</t>
        </is>
      </c>
      <c r="C25" s="5" t="inlineStr">
        <is>
          <t>Target: ≤ Day 30</t>
        </is>
      </c>
      <c r="D25" s="6" t="n"/>
      <c r="E25" s="6" t="n"/>
    </row>
    <row r="26">
      <c r="A26" s="5" t="inlineStr">
        <is>
          <t>Success measures</t>
        </is>
      </c>
      <c r="B26" s="5" t="inlineStr">
        <is>
          <t>Time to first qualified opportunity</t>
        </is>
      </c>
      <c r="C26" s="5" t="inlineStr">
        <is>
          <t>Target: ≤ Day 60</t>
        </is>
      </c>
      <c r="D26" s="6" t="n"/>
      <c r="E26" s="6" t="n"/>
    </row>
    <row r="27">
      <c r="A27" s="5" t="inlineStr">
        <is>
          <t>Success measures</t>
        </is>
      </c>
      <c r="B27" s="5" t="inlineStr">
        <is>
          <t>Explore certification first-time pass rate</t>
        </is>
      </c>
      <c r="C27" s="5" t="inlineStr">
        <is>
          <t>Target: ≥ 80%</t>
        </is>
      </c>
      <c r="D27" s="6" t="n"/>
      <c r="E27" s="6" t="n"/>
    </row>
    <row r="28">
      <c r="A28" s="5" t="inlineStr">
        <is>
          <t>Success measures</t>
        </is>
      </c>
      <c r="B28" s="5" t="inlineStr">
        <is>
          <t>Pitch deck certification first-time pass rate</t>
        </is>
      </c>
      <c r="C28" s="5" t="inlineStr">
        <is>
          <t>Target: ≥ 80%</t>
        </is>
      </c>
      <c r="D28" s="6" t="n"/>
      <c r="E28" s="6" t="n"/>
    </row>
    <row r="29">
      <c r="A29" s="5" t="inlineStr">
        <is>
          <t>Success measures</t>
        </is>
      </c>
      <c r="B29" s="5" t="inlineStr">
        <is>
          <t>Ramp attainment vs. cohort trajectory at Day 90</t>
        </is>
      </c>
      <c r="C29" s="5" t="inlineStr">
        <is>
          <t>Target: On or ahead of plan</t>
        </is>
      </c>
      <c r="D29" s="6" t="n"/>
      <c r="E29" s="6" t="n"/>
    </row>
    <row r="30">
      <c r="A30" s="5" t="inlineStr">
        <is>
          <t>Success measures</t>
        </is>
      </c>
      <c r="B30" s="5" t="inlineStr">
        <is>
          <t>New-hire onboarding NPS (Day 30 / 90 pulse)</t>
        </is>
      </c>
      <c r="C30" s="5" t="inlineStr">
        <is>
          <t>Target: ≥ +50</t>
        </is>
      </c>
      <c r="D30" s="6" t="n"/>
      <c r="E30" s="6" t="n"/>
    </row>
  </sheetData>
  <dataValidations count="1">
    <dataValidation sqref="D5:D30" showDropDown="0" showInputMessage="0" showErrorMessage="0" allowBlank="0" type="list">
      <formula1>"Keep,Change,Cut,Discuss"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30" customWidth="1" min="1" max="1"/>
    <col width="16" customWidth="1" min="2" max="2"/>
    <col width="34" customWidth="1" min="3" max="3"/>
    <col width="70" customWidth="1" min="4" max="4"/>
    <col width="18" customWidth="1" min="5" max="5"/>
  </cols>
  <sheetData>
    <row r="1">
      <c r="A1" s="7" t="inlineStr">
        <is>
          <t>NORAM Account Executive Onboarding</t>
        </is>
      </c>
    </row>
    <row r="2">
      <c r="A2" t="inlineStr">
        <is>
          <t>From Day 1 to first Propose: a 90-day path built for selling payments at Checkout.com</t>
        </is>
      </c>
    </row>
    <row r="3">
      <c r="A3" s="2" t="inlineStr">
        <is>
          <t>Jasmine Jancsik, Lead Enablement, US · v1 draft, October 2026</t>
        </is>
      </c>
    </row>
    <row r="5">
      <c r="A5" s="8" t="inlineStr">
        <is>
          <t>Sessions mapped</t>
        </is>
      </c>
      <c r="B5">
        <f>COUNTA(Inventory!C4:C500)</f>
        <v/>
      </c>
    </row>
    <row r="6">
      <c r="A6" s="8" t="inlineStr">
        <is>
          <t>Ready today</t>
        </is>
      </c>
      <c r="B6">
        <f>COUNTIF(Inventory!H4:H500,"Ready")</f>
        <v/>
      </c>
    </row>
    <row r="7">
      <c r="A7" s="8" t="inlineStr">
        <is>
          <t>Need refresh</t>
        </is>
      </c>
      <c r="B7">
        <f>COUNTIF(Inventory!H4:H500,"Refresh")</f>
        <v/>
      </c>
    </row>
    <row r="8">
      <c r="A8" s="8" t="inlineStr">
        <is>
          <t>To build</t>
        </is>
      </c>
      <c r="B8">
        <f>COUNTIF(Inventory!H4:H500,"Build")</f>
        <v/>
      </c>
    </row>
    <row r="9">
      <c r="A9" s="8" t="n"/>
    </row>
    <row r="10">
      <c r="A10" s="8" t="inlineStr">
        <is>
          <t>Build/refresh items done</t>
        </is>
      </c>
      <c r="B10">
        <f>COUNTIF('Build Backlog'!I4:I500,"Done")</f>
        <v/>
      </c>
    </row>
    <row r="12">
      <c r="A12" s="9" t="inlineStr">
        <is>
          <t>Phase</t>
        </is>
      </c>
      <c r="B12" s="9" t="inlineStr">
        <is>
          <t>Days</t>
        </is>
      </c>
      <c r="C12" s="9" t="inlineStr">
        <is>
          <t>Theme</t>
        </is>
      </c>
      <c r="D12" s="9" t="inlineStr">
        <is>
          <t>Goal</t>
        </is>
      </c>
      <c r="E12" s="9" t="inlineStr">
        <is>
          <t>Target selling time</t>
        </is>
      </c>
    </row>
    <row r="13">
      <c r="A13" s="10" t="inlineStr">
        <is>
          <t>Pre-board</t>
        </is>
      </c>
      <c r="B13" s="10" t="inlineStr">
        <is>
          <t>Before Day 1</t>
        </is>
      </c>
      <c r="C13" s="10" t="inlineStr">
        <is>
          <t>Arrive ready</t>
        </is>
      </c>
      <c r="D13" s="10" t="inlineStr">
        <is>
          <t>Day 1 is about people, not passwords. Tools, plan and buddy are in place before the AE walks in.</t>
        </is>
      </c>
      <c r="E13" s="10" t="inlineStr">
        <is>
          <t>0%</t>
        </is>
      </c>
    </row>
    <row r="14">
      <c r="A14" s="10" t="inlineStr">
        <is>
          <t>Land</t>
        </is>
      </c>
      <c r="B14" s="10" t="inlineStr">
        <is>
          <t>Days 1–14</t>
        </is>
      </c>
      <c r="C14" s="10" t="inlineStr">
        <is>
          <t>Belong &amp; orient</t>
        </is>
      </c>
      <c r="D14" s="10" t="inlineStr">
        <is>
          <t>Understand how Checkout sells, who's who, the territory and the rules of engagement. Payments is told as a story first, then studied as a curriculum.</t>
        </is>
      </c>
      <c r="E14" s="10" t="inlineStr">
        <is>
          <t>≤10%</t>
        </is>
      </c>
    </row>
    <row r="15">
      <c r="A15" s="10" t="inlineStr">
        <is>
          <t>Learn</t>
        </is>
      </c>
      <c r="B15" s="10" t="inlineStr">
        <is>
          <t>Days 15–30</t>
        </is>
      </c>
      <c r="C15" s="10" t="inlineStr">
        <is>
          <t>Payments &amp; product fluency</t>
        </is>
      </c>
      <c r="D15" s="10" t="inlineStr">
        <is>
          <t>Explain all five pillars in a merchant's language, see each pillar in live deals, and start call reviews and account planning.</t>
        </is>
      </c>
      <c r="E15" s="10" t="inlineStr">
        <is>
          <t>20%</t>
        </is>
      </c>
    </row>
    <row r="16">
      <c r="A16" s="10" t="inlineStr">
        <is>
          <t>Practice</t>
        </is>
      </c>
      <c r="B16" s="10" t="inlineStr">
        <is>
          <t>Days 31–60</t>
        </is>
      </c>
      <c r="C16" s="10" t="inlineStr">
        <is>
          <t>Verticals, process &amp; discovery</t>
        </is>
      </c>
      <c r="D16" s="10" t="inlineStr">
        <is>
          <t>Go deep on NORAM verticals and the deal machine (deal desk, underwriting, partners), then prove discovery skills in the Day 60 Explore stack.</t>
        </is>
      </c>
      <c r="E16" s="10" t="inlineStr">
        <is>
          <t>50%</t>
        </is>
      </c>
    </row>
    <row r="17">
      <c r="A17" s="10" t="inlineStr">
        <is>
          <t>Perform</t>
        </is>
      </c>
      <c r="B17" s="10" t="inlineStr">
        <is>
          <t>Days 61–90</t>
        </is>
      </c>
      <c r="C17" s="10" t="inlineStr">
        <is>
          <t>Price, propose &amp; close</t>
        </is>
      </c>
      <c r="D17" s="10" t="inlineStr">
        <is>
          <t>Price a deal, build a business case and present a tailored Checkout pitch. Graduation is the Day 90 Pitch Deck Certification.</t>
        </is>
      </c>
      <c r="E17" s="10" t="inlineStr">
        <is>
          <t>70%</t>
        </is>
      </c>
    </row>
    <row r="18">
      <c r="A18" s="10" t="inlineStr">
        <is>
          <t>Everboard</t>
        </is>
      </c>
      <c r="B18" s="10" t="inlineStr">
        <is>
          <t>Day 90+</t>
        </is>
      </c>
      <c r="C18" s="10" t="inlineStr">
        <is>
          <t>Keep growing</t>
        </is>
      </c>
      <c r="D18" s="10" t="inlineStr">
        <is>
          <t>Recurring skills sessions, call clinics and yearly recertification keep tenured AEs sharp.</t>
        </is>
      </c>
      <c r="E18" s="10" t="inlineStr">
        <is>
          <t>90%+</t>
        </is>
      </c>
    </row>
    <row r="20">
      <c r="A20" s="9" t="inlineStr">
        <is>
          <t>Milestone</t>
        </is>
      </c>
      <c r="B20" s="9" t="inlineStr">
        <is>
          <t>Day</t>
        </is>
      </c>
      <c r="C20" s="9" t="inlineStr">
        <is>
          <t>What</t>
        </is>
      </c>
      <c r="D20" s="9" t="inlineStr">
        <is>
          <t>Pass mark</t>
        </is>
      </c>
    </row>
    <row r="21">
      <c r="A21" s="10" t="inlineStr">
        <is>
          <t>Day 30 Checkpoint</t>
        </is>
      </c>
      <c r="B21" s="10" t="n">
        <v>30</v>
      </c>
      <c r="C21" s="10" t="inlineStr">
        <is>
          <t>Elevator pitch sign-off + five-pillar knowledge check</t>
        </is>
      </c>
      <c r="D21" s="10" t="inlineStr">
        <is>
          <t>Pitch approved by manager · ≥ 80% on the pillar knowledge check</t>
        </is>
      </c>
    </row>
    <row r="22">
      <c r="A22" s="10" t="inlineStr">
        <is>
          <t>Explore Call Certification</t>
        </is>
      </c>
      <c r="B22" s="10" t="n">
        <v>60</v>
      </c>
      <c r="C22" s="10" t="inlineStr">
        <is>
          <t>Live simulated Explore call with a payments persona, scored on a 7-part rubric</t>
        </is>
      </c>
      <c r="D22" s="10" t="inlineStr">
        <is>
          <t>≥ 80% overall and no section below 3/5</t>
        </is>
      </c>
    </row>
    <row r="23">
      <c r="A23" s="10" t="inlineStr">
        <is>
          <t>Pitch Deck Certification</t>
        </is>
      </c>
      <c r="B23" s="10" t="n">
        <v>90</v>
      </c>
      <c r="C23" s="10" t="inlineStr">
        <is>
          <t>Tailored pitch deck for a real territory account, presented to a panel</t>
        </is>
      </c>
      <c r="D23" s="10" t="inlineStr">
        <is>
          <t>≥ 80% overall and no section below 3/5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6"/>
  <sheetViews>
    <sheetView workbookViewId="0">
      <pane ySplit="3" topLeftCell="A4" activePane="bottomLeft" state="frozen"/>
      <selection pane="bottomLeft" activeCell="A1" sqref="A1"/>
    </sheetView>
  </sheetViews>
  <sheetFormatPr baseColWidth="8" defaultRowHeight="15"/>
  <cols>
    <col width="22" customWidth="1" min="1" max="1"/>
    <col width="7" customWidth="1" min="2" max="2"/>
    <col width="52" customWidth="1" min="3" max="3"/>
    <col width="18" customWidth="1" min="4" max="4"/>
    <col width="13" customWidth="1" min="5" max="5"/>
    <col width="7" customWidth="1" min="6" max="6"/>
    <col width="30" customWidth="1" min="7" max="7"/>
    <col width="10" customWidth="1" min="8" max="8"/>
    <col width="13" customWidth="1" min="9" max="9"/>
    <col width="70" customWidth="1" min="10" max="10"/>
    <col width="14" customWidth="1" min="11" max="11"/>
    <col width="16" customWidth="1" min="12" max="12"/>
    <col width="50" customWidth="1" min="13" max="13"/>
  </cols>
  <sheetData>
    <row r="1">
      <c r="A1" s="2" t="inlineStr">
        <is>
          <t>Every AE onboarding session: what exists today (Ready), what needs updating (Refresh) and what's missing (Build).</t>
        </is>
      </c>
    </row>
    <row r="3">
      <c r="A3" s="3" t="inlineStr">
        <is>
          <t>Phase</t>
        </is>
      </c>
      <c r="B3" s="3" t="inlineStr">
        <is>
          <t>Week</t>
        </is>
      </c>
      <c r="C3" s="3" t="inlineStr">
        <is>
          <t>Session</t>
        </is>
      </c>
      <c r="D3" s="3" t="inlineStr">
        <is>
          <t>Category</t>
        </is>
      </c>
      <c r="E3" s="3" t="inlineStr">
        <is>
          <t>Format</t>
        </is>
      </c>
      <c r="F3" s="3" t="inlineStr">
        <is>
          <t>Hours</t>
        </is>
      </c>
      <c r="G3" s="3" t="inlineStr">
        <is>
          <t>Owner</t>
        </is>
      </c>
      <c r="H3" s="3" t="inlineStr">
        <is>
          <t>Status</t>
        </is>
      </c>
      <c r="I3" s="3" t="inlineStr">
        <is>
          <t>Stack</t>
        </is>
      </c>
      <c r="J3" s="3" t="inlineStr">
        <is>
          <t>What needs to happen / notes</t>
        </is>
      </c>
      <c r="K3" s="3" t="inlineStr">
        <is>
          <t>Source</t>
        </is>
      </c>
      <c r="L3" s="4" t="inlineStr">
        <is>
          <t>Keep / Change / Cut</t>
        </is>
      </c>
      <c r="M3" s="4" t="inlineStr">
        <is>
          <t>Your feedback</t>
        </is>
      </c>
    </row>
    <row r="4">
      <c r="A4" s="5" t="inlineStr">
        <is>
          <t>Pre-board (Before Day 1)</t>
        </is>
      </c>
      <c r="B4" s="5" t="n">
        <v>0</v>
      </c>
      <c r="C4" s="5" t="inlineStr">
        <is>
          <t>Welcome pack, 90-day plan &amp; personal tracker issued</t>
        </is>
      </c>
      <c r="D4" s="5" t="inlineStr">
        <is>
          <t>Foundations</t>
        </is>
      </c>
      <c r="E4" s="5" t="inlineStr">
        <is>
          <t>Self-paced</t>
        </is>
      </c>
      <c r="F4" s="5" t="n">
        <v>0.5</v>
      </c>
      <c r="G4" s="5" t="inlineStr">
        <is>
          <t>Enablement</t>
        </is>
      </c>
      <c r="H4" s="5" t="inlineStr">
        <is>
          <t>Build</t>
        </is>
      </c>
      <c r="I4" s="5" t="inlineStr"/>
      <c r="J4" s="5" t="inlineStr">
        <is>
          <t>Send the personal tracker (Karlie Chen format) and this 90-day map before Day 1 so the new hire arrives knowing the path.</t>
        </is>
      </c>
      <c r="K4" s="5" t="inlineStr">
        <is>
          <t>Karlie Tracker</t>
        </is>
      </c>
      <c r="L4" s="11" t="inlineStr"/>
      <c r="M4" s="11" t="inlineStr"/>
    </row>
    <row r="5">
      <c r="A5" s="5" t="inlineStr">
        <is>
          <t>Pre-board (Before Day 1)</t>
        </is>
      </c>
      <c r="B5" s="5" t="n">
        <v>0</v>
      </c>
      <c r="C5" s="5" t="inlineStr">
        <is>
          <t>Tool access pre-provisioned (Salesforce, Clari, Apollo, LinkedIn Sales Nav, Highspot, Glean)</t>
        </is>
      </c>
      <c r="D5" s="5" t="inlineStr">
        <is>
          <t>Tools &amp; Process</t>
        </is>
      </c>
      <c r="E5" s="5" t="inlineStr">
        <is>
          <t>Self-paced</t>
        </is>
      </c>
      <c r="F5" s="5" t="n">
        <v>0</v>
      </c>
      <c r="G5" s="5" t="inlineStr">
        <is>
          <t>Enablement + IT</t>
        </is>
      </c>
      <c r="H5" s="5" t="inlineStr">
        <is>
          <t>Refresh</t>
        </is>
      </c>
      <c r="I5" s="5" t="inlineStr"/>
      <c r="J5" s="5" t="inlineStr">
        <is>
          <t>Today this takes a Day 1 session. Request access at offer-accept so Day 1 can go to people and context.</t>
        </is>
      </c>
      <c r="K5" s="5" t="inlineStr">
        <is>
          <t>Q4 Plan</t>
        </is>
      </c>
      <c r="L5" s="11" t="inlineStr"/>
      <c r="M5" s="11" t="inlineStr"/>
    </row>
    <row r="6">
      <c r="A6" s="5" t="inlineStr">
        <is>
          <t>Pre-board (Before Day 1)</t>
        </is>
      </c>
      <c r="B6" s="5" t="n">
        <v>0</v>
      </c>
      <c r="C6" s="5" t="inlineStr">
        <is>
          <t>Buddy assigned + manager welcome call</t>
        </is>
      </c>
      <c r="D6" s="5" t="inlineStr">
        <is>
          <t>People &amp; Network</t>
        </is>
      </c>
      <c r="E6" s="5" t="inlineStr">
        <is>
          <t>Live</t>
        </is>
      </c>
      <c r="F6" s="5" t="n">
        <v>0.5</v>
      </c>
      <c r="G6" s="5" t="inlineStr">
        <is>
          <t>Line manager</t>
        </is>
      </c>
      <c r="H6" s="5" t="inlineStr">
        <is>
          <t>Refresh</t>
        </is>
      </c>
      <c r="I6" s="5" t="inlineStr"/>
      <c r="J6" s="5" t="inlineStr">
        <is>
          <t>Buddies are used informally (elevator pitch, role plays). Formalise it with a one-page buddy guide and a weekly 30-minute slot.</t>
        </is>
      </c>
      <c r="K6" s="5" t="inlineStr">
        <is>
          <t>Karlie Tracker</t>
        </is>
      </c>
      <c r="L6" s="11" t="inlineStr"/>
      <c r="M6" s="11" t="inlineStr"/>
    </row>
    <row r="7">
      <c r="A7" s="5" t="inlineStr">
        <is>
          <t>Land (Days 1–14)</t>
        </is>
      </c>
      <c r="B7" s="5" t="n">
        <v>1</v>
      </c>
      <c r="C7" s="5" t="inlineStr">
        <is>
          <t>IT, People &amp; Benefits inductions</t>
        </is>
      </c>
      <c r="D7" s="5" t="inlineStr">
        <is>
          <t>Foundations</t>
        </is>
      </c>
      <c r="E7" s="5" t="inlineStr">
        <is>
          <t>Live</t>
        </is>
      </c>
      <c r="F7" s="5" t="n">
        <v>3</v>
      </c>
      <c r="G7" s="5" t="inlineStr">
        <is>
          <t>People Team</t>
        </is>
      </c>
      <c r="H7" s="5" t="inlineStr">
        <is>
          <t>Ready</t>
        </is>
      </c>
      <c r="I7" s="5" t="inlineStr"/>
      <c r="J7" s="5" t="inlineStr"/>
      <c r="K7" s="5" t="inlineStr">
        <is>
          <t>Q4 Plan</t>
        </is>
      </c>
      <c r="L7" s="11" t="inlineStr"/>
      <c r="M7" s="11" t="inlineStr"/>
    </row>
    <row r="8">
      <c r="A8" s="5" t="inlineStr">
        <is>
          <t>Land (Days 1–14)</t>
        </is>
      </c>
      <c r="B8" s="5" t="n">
        <v>1</v>
      </c>
      <c r="C8" s="5" t="inlineStr">
        <is>
          <t>Your onboarding plan: the 30/60/90 kickoff</t>
        </is>
      </c>
      <c r="D8" s="5" t="inlineStr">
        <is>
          <t>Foundations</t>
        </is>
      </c>
      <c r="E8" s="5" t="inlineStr">
        <is>
          <t>Live</t>
        </is>
      </c>
      <c r="F8" s="5" t="n">
        <v>0.5</v>
      </c>
      <c r="G8" s="5" t="inlineStr">
        <is>
          <t>Enablement</t>
        </is>
      </c>
      <c r="H8" s="5" t="inlineStr">
        <is>
          <t>Ready</t>
        </is>
      </c>
      <c r="I8" s="5" t="inlineStr"/>
      <c r="J8" s="5" t="inlineStr"/>
      <c r="K8" s="5" t="inlineStr">
        <is>
          <t>Q4 Plan</t>
        </is>
      </c>
      <c r="L8" s="11" t="inlineStr"/>
      <c r="M8" s="11" t="inlineStr"/>
    </row>
    <row r="9">
      <c r="A9" s="5" t="inlineStr">
        <is>
          <t>Land (Days 1–14)</t>
        </is>
      </c>
      <c r="B9" s="5" t="n">
        <v>1</v>
      </c>
      <c r="C9" s="5" t="inlineStr">
        <is>
          <t>Intro to Checkout's Revenue Org (Global + NORAM)</t>
        </is>
      </c>
      <c r="D9" s="5" t="inlineStr">
        <is>
          <t>Foundations</t>
        </is>
      </c>
      <c r="E9" s="5" t="inlineStr">
        <is>
          <t>Live</t>
        </is>
      </c>
      <c r="F9" s="5" t="n">
        <v>1.5</v>
      </c>
      <c r="G9" s="5" t="inlineStr">
        <is>
          <t>Michel Tornabene</t>
        </is>
      </c>
      <c r="H9" s="5" t="inlineStr">
        <is>
          <t>Ready</t>
        </is>
      </c>
      <c r="I9" s="5" t="inlineStr"/>
      <c r="J9" s="5" t="inlineStr"/>
      <c r="K9" s="5" t="inlineStr">
        <is>
          <t>Karlie Tracker</t>
        </is>
      </c>
      <c r="L9" s="11" t="inlineStr"/>
      <c r="M9" s="11" t="inlineStr"/>
    </row>
    <row r="10">
      <c r="A10" s="5" t="inlineStr">
        <is>
          <t>Land (Days 1–14)</t>
        </is>
      </c>
      <c r="B10" s="5" t="n">
        <v>1</v>
      </c>
      <c r="C10" s="5" t="inlineStr">
        <is>
          <t>Mandatory compliance training (Nova)</t>
        </is>
      </c>
      <c r="D10" s="5" t="inlineStr">
        <is>
          <t>Foundations</t>
        </is>
      </c>
      <c r="E10" s="5" t="inlineStr">
        <is>
          <t>Self-paced</t>
        </is>
      </c>
      <c r="F10" s="5" t="n">
        <v>3</v>
      </c>
      <c r="G10" s="5" t="inlineStr">
        <is>
          <t>New hire</t>
        </is>
      </c>
      <c r="H10" s="5" t="inlineStr">
        <is>
          <t>Ready</t>
        </is>
      </c>
      <c r="I10" s="5" t="inlineStr"/>
      <c r="J10" s="5" t="inlineStr"/>
      <c r="K10" s="5" t="inlineStr">
        <is>
          <t>Q4 Plan</t>
        </is>
      </c>
      <c r="L10" s="11" t="inlineStr"/>
      <c r="M10" s="11" t="inlineStr"/>
    </row>
    <row r="11">
      <c r="A11" s="5" t="inlineStr">
        <is>
          <t>Land (Days 1–14)</t>
        </is>
      </c>
      <c r="B11" s="5" t="n">
        <v>1</v>
      </c>
      <c r="C11" s="5" t="inlineStr">
        <is>
          <t>Payments at Checkout in 60 minutes</t>
        </is>
      </c>
      <c r="D11" s="5" t="inlineStr">
        <is>
          <t>Payments &amp; Product</t>
        </is>
      </c>
      <c r="E11" s="5" t="inlineStr">
        <is>
          <t>Live</t>
        </is>
      </c>
      <c r="F11" s="5" t="n">
        <v>1</v>
      </c>
      <c r="G11" s="5" t="inlineStr">
        <is>
          <t>Enablement + Solutions Engineering</t>
        </is>
      </c>
      <c r="H11" s="5" t="inlineStr">
        <is>
          <t>Build</t>
        </is>
      </c>
      <c r="I11" s="5" t="inlineStr"/>
      <c r="J11" s="5" t="inlineStr">
        <is>
          <t>A story-led primer: the life of a card transaction, where Checkout earns, and why merchants switch. It replaces the Day 2 deep dive into Payments Academy and gives context before the curriculum starts.</t>
        </is>
      </c>
      <c r="K11" s="5" t="inlineStr">
        <is>
          <t>New</t>
        </is>
      </c>
      <c r="L11" s="11" t="inlineStr"/>
      <c r="M11" s="11" t="inlineStr"/>
    </row>
    <row r="12">
      <c r="A12" s="5" t="inlineStr">
        <is>
          <t>Land (Days 1–14)</t>
        </is>
      </c>
      <c r="B12" s="5" t="n">
        <v>1</v>
      </c>
      <c r="C12" s="5" t="inlineStr">
        <is>
          <t>Sales Tools &amp; Chrome Extensions</t>
        </is>
      </c>
      <c r="D12" s="5" t="inlineStr">
        <is>
          <t>Tools &amp; Process</t>
        </is>
      </c>
      <c r="E12" s="5" t="inlineStr">
        <is>
          <t>Live</t>
        </is>
      </c>
      <c r="F12" s="5" t="n">
        <v>1</v>
      </c>
      <c r="G12" s="5" t="inlineStr">
        <is>
          <t>J.J. Henry</t>
        </is>
      </c>
      <c r="H12" s="5" t="inlineStr">
        <is>
          <t>Ready</t>
        </is>
      </c>
      <c r="I12" s="5" t="inlineStr"/>
      <c r="J12" s="5" t="inlineStr"/>
      <c r="K12" s="5" t="inlineStr">
        <is>
          <t>Karlie Tracker</t>
        </is>
      </c>
      <c r="L12" s="11" t="inlineStr"/>
      <c r="M12" s="11" t="inlineStr"/>
    </row>
    <row r="13">
      <c r="A13" s="5" t="inlineStr">
        <is>
          <t>Land (Days 1–14)</t>
        </is>
      </c>
      <c r="B13" s="5" t="n">
        <v>1</v>
      </c>
      <c r="C13" s="5" t="inlineStr">
        <is>
          <t>Finding answers: Highspot, Confluence &amp; Glean</t>
        </is>
      </c>
      <c r="D13" s="5" t="inlineStr">
        <is>
          <t>Tools &amp; Process</t>
        </is>
      </c>
      <c r="E13" s="5" t="inlineStr">
        <is>
          <t>Live</t>
        </is>
      </c>
      <c r="F13" s="5" t="n">
        <v>1</v>
      </c>
      <c r="G13" s="5" t="inlineStr">
        <is>
          <t>Enablement</t>
        </is>
      </c>
      <c r="H13" s="5" t="inlineStr">
        <is>
          <t>Refresh</t>
        </is>
      </c>
      <c r="I13" s="5" t="inlineStr"/>
      <c r="J13" s="5" t="inlineStr">
        <is>
          <t>Update for the Highspot→Drive transition and Glean adoption (charter priority 3).</t>
        </is>
      </c>
      <c r="K13" s="5" t="inlineStr">
        <is>
          <t>Q4 Plan</t>
        </is>
      </c>
      <c r="L13" s="11" t="inlineStr"/>
      <c r="M13" s="11" t="inlineStr"/>
    </row>
    <row r="14">
      <c r="A14" s="5" t="inlineStr">
        <is>
          <t>Land (Days 1–14)</t>
        </is>
      </c>
      <c r="B14" s="5" t="n">
        <v>1</v>
      </c>
      <c r="C14" s="5" t="inlineStr">
        <is>
          <t>Office hours with the NORAM GM</t>
        </is>
      </c>
      <c r="D14" s="5" t="inlineStr">
        <is>
          <t>People &amp; Network</t>
        </is>
      </c>
      <c r="E14" s="5" t="inlineStr">
        <is>
          <t>Live</t>
        </is>
      </c>
      <c r="F14" s="5" t="n">
        <v>0.5</v>
      </c>
      <c r="G14" s="5" t="inlineStr">
        <is>
          <t>Zack Levine</t>
        </is>
      </c>
      <c r="H14" s="5" t="inlineStr">
        <is>
          <t>Ready</t>
        </is>
      </c>
      <c r="I14" s="5" t="inlineStr"/>
      <c r="J14" s="5" t="inlineStr"/>
      <c r="K14" s="5" t="inlineStr">
        <is>
          <t>Q4 Plan</t>
        </is>
      </c>
      <c r="L14" s="11" t="inlineStr"/>
      <c r="M14" s="11" t="inlineStr"/>
    </row>
    <row r="15">
      <c r="A15" s="5" t="inlineStr">
        <is>
          <t>Land (Days 1–14)</t>
        </is>
      </c>
      <c r="B15" s="5" t="n">
        <v>1</v>
      </c>
      <c r="C15" s="5" t="inlineStr">
        <is>
          <t>RevWay 0–1: Intro to Revenue Way &amp; Buyer Psychology</t>
        </is>
      </c>
      <c r="D15" s="5" t="inlineStr">
        <is>
          <t>Sales Skills</t>
        </is>
      </c>
      <c r="E15" s="5" t="inlineStr">
        <is>
          <t>Self-paced</t>
        </is>
      </c>
      <c r="F15" s="5" t="n">
        <v>2.5</v>
      </c>
      <c r="G15" s="5" t="inlineStr">
        <is>
          <t>Self-directed</t>
        </is>
      </c>
      <c r="H15" s="5" t="inlineStr">
        <is>
          <t>Ready</t>
        </is>
      </c>
      <c r="I15" s="5" t="inlineStr"/>
      <c r="J15" s="5" t="inlineStr"/>
      <c r="K15" s="5" t="inlineStr">
        <is>
          <t>Q4 Plan</t>
        </is>
      </c>
      <c r="L15" s="11" t="inlineStr"/>
      <c r="M15" s="11" t="inlineStr"/>
    </row>
    <row r="16">
      <c r="A16" s="5" t="inlineStr">
        <is>
          <t>Land (Days 1–14)</t>
        </is>
      </c>
      <c r="B16" s="5" t="n">
        <v>1</v>
      </c>
      <c r="C16" s="5" t="inlineStr">
        <is>
          <t>Meet your pod + buddy coffee</t>
        </is>
      </c>
      <c r="D16" s="5" t="inlineStr">
        <is>
          <t>People &amp; Network</t>
        </is>
      </c>
      <c r="E16" s="5" t="inlineStr">
        <is>
          <t>Practice</t>
        </is>
      </c>
      <c r="F16" s="5" t="n">
        <v>1</v>
      </c>
      <c r="G16" s="5" t="inlineStr">
        <is>
          <t>Pod leader</t>
        </is>
      </c>
      <c r="H16" s="5" t="inlineStr">
        <is>
          <t>Ready</t>
        </is>
      </c>
      <c r="I16" s="5" t="inlineStr"/>
      <c r="J16" s="5" t="inlineStr"/>
      <c r="K16" s="5" t="inlineStr">
        <is>
          <t>Q4 Plan</t>
        </is>
      </c>
      <c r="L16" s="11" t="inlineStr"/>
      <c r="M16" s="11" t="inlineStr"/>
    </row>
    <row r="17">
      <c r="A17" s="5" t="inlineStr">
        <is>
          <t>Land (Days 1–14)</t>
        </is>
      </c>
      <c r="B17" s="5" t="n">
        <v>2</v>
      </c>
      <c r="C17" s="5" t="inlineStr">
        <is>
          <t>Buyer personas in payments (Head of Payments, CFO, CPO, Eng)</t>
        </is>
      </c>
      <c r="D17" s="5" t="inlineStr">
        <is>
          <t>Sales Skills</t>
        </is>
      </c>
      <c r="E17" s="5" t="inlineStr">
        <is>
          <t>Live</t>
        </is>
      </c>
      <c r="F17" s="5" t="n">
        <v>1</v>
      </c>
      <c r="G17" s="5" t="inlineStr">
        <is>
          <t>J.J. Henry</t>
        </is>
      </c>
      <c r="H17" s="5" t="inlineStr">
        <is>
          <t>Ready</t>
        </is>
      </c>
      <c r="I17" s="5" t="inlineStr"/>
      <c r="J17" s="5" t="inlineStr"/>
      <c r="K17" s="5" t="inlineStr">
        <is>
          <t>Karlie Tracker</t>
        </is>
      </c>
      <c r="L17" s="11" t="inlineStr"/>
      <c r="M17" s="11" t="inlineStr"/>
    </row>
    <row r="18">
      <c r="A18" s="5" t="inlineStr">
        <is>
          <t>Land (Days 1–14)</t>
        </is>
      </c>
      <c r="B18" s="5" t="n">
        <v>2</v>
      </c>
      <c r="C18" s="5" t="inlineStr">
        <is>
          <t>Competitive Landscape</t>
        </is>
      </c>
      <c r="D18" s="5" t="inlineStr">
        <is>
          <t>Payments &amp; Product</t>
        </is>
      </c>
      <c r="E18" s="5" t="inlineStr">
        <is>
          <t>Live</t>
        </is>
      </c>
      <c r="F18" s="5" t="n">
        <v>1</v>
      </c>
      <c r="G18" s="5" t="inlineStr">
        <is>
          <t>Michel Tornabene</t>
        </is>
      </c>
      <c r="H18" s="5" t="inlineStr">
        <is>
          <t>Ready</t>
        </is>
      </c>
      <c r="I18" s="5" t="inlineStr"/>
      <c r="J18" s="5" t="inlineStr"/>
      <c r="K18" s="5" t="inlineStr">
        <is>
          <t>Q4 Plan</t>
        </is>
      </c>
      <c r="L18" s="11" t="inlineStr"/>
      <c r="M18" s="11" t="inlineStr"/>
    </row>
    <row r="19">
      <c r="A19" s="5" t="inlineStr">
        <is>
          <t>Land (Days 1–14)</t>
        </is>
      </c>
      <c r="B19" s="5" t="n">
        <v>2</v>
      </c>
      <c r="C19" s="5" t="inlineStr">
        <is>
          <t>Territory planning (STP), Rules of Engagement &amp; Incentive Ratings</t>
        </is>
      </c>
      <c r="D19" s="5" t="inlineStr">
        <is>
          <t>Tools &amp; Process</t>
        </is>
      </c>
      <c r="E19" s="5" t="inlineStr">
        <is>
          <t>Live</t>
        </is>
      </c>
      <c r="F19" s="5" t="n">
        <v>1</v>
      </c>
      <c r="G19" s="5" t="inlineStr">
        <is>
          <t>Francesco Falcone</t>
        </is>
      </c>
      <c r="H19" s="5" t="inlineStr">
        <is>
          <t>Ready</t>
        </is>
      </c>
      <c r="I19" s="5" t="inlineStr"/>
      <c r="J19" s="5" t="inlineStr">
        <is>
          <t>Must be live and finished by the end of Week 2. Francesco asked for this ASAP, early Week 3 at the latest.</t>
        </is>
      </c>
      <c r="K19" s="5" t="inlineStr">
        <is>
          <t>Q4 Plan</t>
        </is>
      </c>
      <c r="L19" s="11" t="inlineStr"/>
      <c r="M19" s="11" t="inlineStr"/>
    </row>
    <row r="20">
      <c r="A20" s="5" t="inlineStr">
        <is>
          <t>Land (Days 1–14)</t>
        </is>
      </c>
      <c r="B20" s="5" t="n">
        <v>2</v>
      </c>
      <c r="C20" s="5" t="inlineStr">
        <is>
          <t>Salesforce, Clari &amp; pipeline hygiene</t>
        </is>
      </c>
      <c r="D20" s="5" t="inlineStr">
        <is>
          <t>Tools &amp; Process</t>
        </is>
      </c>
      <c r="E20" s="5" t="inlineStr">
        <is>
          <t>Live</t>
        </is>
      </c>
      <c r="F20" s="5" t="n">
        <v>1</v>
      </c>
      <c r="G20" s="5" t="inlineStr">
        <is>
          <t>Francesco Falcone</t>
        </is>
      </c>
      <c r="H20" s="5" t="inlineStr">
        <is>
          <t>Ready</t>
        </is>
      </c>
      <c r="I20" s="5" t="inlineStr"/>
      <c r="J20" s="5" t="inlineStr"/>
      <c r="K20" s="5" t="inlineStr">
        <is>
          <t>Q4 Plan</t>
        </is>
      </c>
      <c r="L20" s="11" t="inlineStr"/>
      <c r="M20" s="11" t="inlineStr"/>
    </row>
    <row r="21">
      <c r="A21" s="5" t="inlineStr">
        <is>
          <t>Land (Days 1–14)</t>
        </is>
      </c>
      <c r="B21" s="5" t="n">
        <v>2</v>
      </c>
      <c r="C21" s="5" t="inlineStr">
        <is>
          <t>AI in Commercial</t>
        </is>
      </c>
      <c r="D21" s="5" t="inlineStr">
        <is>
          <t>Tools &amp; Process</t>
        </is>
      </c>
      <c r="E21" s="5" t="inlineStr">
        <is>
          <t>Live</t>
        </is>
      </c>
      <c r="F21" s="5" t="n">
        <v>1</v>
      </c>
      <c r="G21" s="5" t="inlineStr">
        <is>
          <t>Molly McKenna</t>
        </is>
      </c>
      <c r="H21" s="5" t="inlineStr">
        <is>
          <t>Ready</t>
        </is>
      </c>
      <c r="I21" s="5" t="inlineStr"/>
      <c r="J21" s="5" t="inlineStr"/>
      <c r="K21" s="5" t="inlineStr">
        <is>
          <t>Q4 Plan</t>
        </is>
      </c>
      <c r="L21" s="11" t="inlineStr"/>
      <c r="M21" s="11" t="inlineStr"/>
    </row>
    <row r="22">
      <c r="A22" s="5" t="inlineStr">
        <is>
          <t>Land (Days 1–14)</t>
        </is>
      </c>
      <c r="B22" s="5" t="n">
        <v>2</v>
      </c>
      <c r="C22" s="5" t="inlineStr">
        <is>
          <t>Meet the team: Sales, AM, Financial Partnerships, Partnerships, SE, RevOps</t>
        </is>
      </c>
      <c r="D22" s="5" t="inlineStr">
        <is>
          <t>People &amp; Network</t>
        </is>
      </c>
      <c r="E22" s="5" t="inlineStr">
        <is>
          <t>Live</t>
        </is>
      </c>
      <c r="F22" s="5" t="n">
        <v>3</v>
      </c>
      <c r="G22" s="5" t="inlineStr">
        <is>
          <t>Team leads</t>
        </is>
      </c>
      <c r="H22" s="5" t="inlineStr">
        <is>
          <t>Ready</t>
        </is>
      </c>
      <c r="I22" s="5" t="inlineStr"/>
      <c r="J22" s="5" t="inlineStr">
        <is>
          <t>Six 30-minute intros, using the prioritised Who-to-Meet list from the NY repository.</t>
        </is>
      </c>
      <c r="K22" s="5" t="inlineStr">
        <is>
          <t>NY Repository</t>
        </is>
      </c>
      <c r="L22" s="11" t="inlineStr"/>
      <c r="M22" s="11" t="inlineStr"/>
    </row>
    <row r="23">
      <c r="A23" s="5" t="inlineStr">
        <is>
          <t>Land (Days 1–14)</t>
        </is>
      </c>
      <c r="B23" s="5" t="n">
        <v>2</v>
      </c>
      <c r="C23" s="5" t="inlineStr">
        <is>
          <t>Payments Academy: Foundations modules 1–5</t>
        </is>
      </c>
      <c r="D23" s="5" t="inlineStr">
        <is>
          <t>Payments &amp; Product</t>
        </is>
      </c>
      <c r="E23" s="5" t="inlineStr">
        <is>
          <t>Self-paced</t>
        </is>
      </c>
      <c r="F23" s="5" t="n">
        <v>2.5</v>
      </c>
      <c r="G23" s="5" t="inlineStr">
        <is>
          <t>Self-directed</t>
        </is>
      </c>
      <c r="H23" s="5" t="inlineStr">
        <is>
          <t>Refresh</t>
        </is>
      </c>
      <c r="I23" s="5" t="inlineStr"/>
      <c r="J23" s="5" t="inlineStr">
        <is>
          <t>Moved from Day 2 to Week 2 and paced at about 30 minutes a day, after the 60-minute primer, with a Friday live debrief.</t>
        </is>
      </c>
      <c r="K23" s="5" t="inlineStr">
        <is>
          <t>Q4 Plan</t>
        </is>
      </c>
      <c r="L23" s="11" t="inlineStr"/>
      <c r="M23" s="11" t="inlineStr"/>
    </row>
    <row r="24">
      <c r="A24" s="5" t="inlineStr">
        <is>
          <t>Land (Days 1–14)</t>
        </is>
      </c>
      <c r="B24" s="5" t="n">
        <v>2</v>
      </c>
      <c r="C24" s="5" t="inlineStr">
        <is>
          <t>RevWay 2–3: DEPTH Selling &amp; Managing Pipeline</t>
        </is>
      </c>
      <c r="D24" s="5" t="inlineStr">
        <is>
          <t>Sales Skills</t>
        </is>
      </c>
      <c r="E24" s="5" t="inlineStr">
        <is>
          <t>Self-paced</t>
        </is>
      </c>
      <c r="F24" s="5" t="n">
        <v>2.5</v>
      </c>
      <c r="G24" s="5" t="inlineStr">
        <is>
          <t>Self-directed</t>
        </is>
      </c>
      <c r="H24" s="5" t="inlineStr">
        <is>
          <t>Ready</t>
        </is>
      </c>
      <c r="I24" s="5" t="inlineStr"/>
      <c r="J24" s="5" t="inlineStr"/>
      <c r="K24" s="5" t="inlineStr">
        <is>
          <t>Q4 Plan</t>
        </is>
      </c>
      <c r="L24" s="11" t="inlineStr"/>
      <c r="M24" s="11" t="inlineStr"/>
    </row>
    <row r="25">
      <c r="A25" s="5" t="inlineStr">
        <is>
          <t>Land (Days 1–14)</t>
        </is>
      </c>
      <c r="B25" s="5" t="n">
        <v>2</v>
      </c>
      <c r="C25" s="5" t="inlineStr">
        <is>
          <t>Friday knowledge check (Kahoot, pod leads join), runs weekly</t>
        </is>
      </c>
      <c r="D25" s="5" t="inlineStr">
        <is>
          <t>Payments &amp; Product</t>
        </is>
      </c>
      <c r="E25" s="5" t="inlineStr">
        <is>
          <t>Practice</t>
        </is>
      </c>
      <c r="F25" s="5" t="n">
        <v>0.5</v>
      </c>
      <c r="G25" s="5" t="inlineStr">
        <is>
          <t>Enablement + pod leads</t>
        </is>
      </c>
      <c r="H25" s="5" t="inlineStr">
        <is>
          <t>Ready</t>
        </is>
      </c>
      <c r="I25" s="5" t="inlineStr"/>
      <c r="J25" s="5" t="inlineStr"/>
      <c r="K25" s="5" t="inlineStr">
        <is>
          <t>Q4 Plan</t>
        </is>
      </c>
      <c r="L25" s="11" t="inlineStr"/>
      <c r="M25" s="11" t="inlineStr"/>
    </row>
    <row r="26">
      <c r="A26" s="5" t="inlineStr">
        <is>
          <t>Learn (Days 15–30)</t>
        </is>
      </c>
      <c r="B26" s="5" t="n">
        <v>3</v>
      </c>
      <c r="C26" s="5" t="inlineStr">
        <is>
          <t>Payments Academy: Foundations 6–10 + live debrief</t>
        </is>
      </c>
      <c r="D26" s="5" t="inlineStr">
        <is>
          <t>Payments &amp; Product</t>
        </is>
      </c>
      <c r="E26" s="5" t="inlineStr">
        <is>
          <t>Self-paced</t>
        </is>
      </c>
      <c r="F26" s="5" t="n">
        <v>3</v>
      </c>
      <c r="G26" s="5" t="inlineStr">
        <is>
          <t>Enablement</t>
        </is>
      </c>
      <c r="H26" s="5" t="inlineStr">
        <is>
          <t>Refresh</t>
        </is>
      </c>
      <c r="I26" s="5" t="inlineStr"/>
      <c r="J26" s="5" t="inlineStr">
        <is>
          <t>Finish the Foundations here, not in Week 1. The debrief turns the modules into talk-tracks.</t>
        </is>
      </c>
      <c r="K26" s="5" t="inlineStr">
        <is>
          <t>Q4 Plan</t>
        </is>
      </c>
      <c r="L26" s="11" t="inlineStr"/>
      <c r="M26" s="11" t="inlineStr"/>
    </row>
    <row r="27">
      <c r="A27" s="5" t="inlineStr">
        <is>
          <t>Learn (Days 15–30)</t>
        </is>
      </c>
      <c r="B27" s="5" t="n">
        <v>3</v>
      </c>
      <c r="C27" s="5" t="inlineStr">
        <is>
          <t>Product Foundations: Connect &amp; Move</t>
        </is>
      </c>
      <c r="D27" s="5" t="inlineStr">
        <is>
          <t>Payments &amp; Product</t>
        </is>
      </c>
      <c r="E27" s="5" t="inlineStr">
        <is>
          <t>Self-paced</t>
        </is>
      </c>
      <c r="F27" s="5" t="n">
        <v>2</v>
      </c>
      <c r="G27" s="5" t="inlineStr">
        <is>
          <t>Self-directed</t>
        </is>
      </c>
      <c r="H27" s="5" t="inlineStr">
        <is>
          <t>Ready</t>
        </is>
      </c>
      <c r="I27" s="5" t="inlineStr"/>
      <c r="J27" s="5" t="inlineStr"/>
      <c r="K27" s="5" t="inlineStr">
        <is>
          <t>Karlie Tracker</t>
        </is>
      </c>
      <c r="L27" s="11" t="inlineStr"/>
      <c r="M27" s="11" t="inlineStr"/>
    </row>
    <row r="28">
      <c r="A28" s="5" t="inlineStr">
        <is>
          <t>Learn (Days 15–30)</t>
        </is>
      </c>
      <c r="B28" s="5" t="n">
        <v>3</v>
      </c>
      <c r="C28" s="5" t="inlineStr">
        <is>
          <t>Pillars in live deals: Connect &amp; Move (30 min each)</t>
        </is>
      </c>
      <c r="D28" s="5" t="inlineStr">
        <is>
          <t>Payments &amp; Product</t>
        </is>
      </c>
      <c r="E28" s="5" t="inlineStr">
        <is>
          <t>Live</t>
        </is>
      </c>
      <c r="F28" s="5" t="n">
        <v>1</v>
      </c>
      <c r="G28" s="5" t="inlineStr">
        <is>
          <t>Pod leads</t>
        </is>
      </c>
      <c r="H28" s="5" t="inlineStr">
        <is>
          <t>Refresh</t>
        </is>
      </c>
      <c r="I28" s="5" t="inlineStr"/>
      <c r="J28" s="5" t="inlineStr">
        <is>
          <t>Replace the generic 'sales perspective' sessions with 30-minute walk-throughs of live deals, built on a vertical use case (Francesco's feedback).</t>
        </is>
      </c>
      <c r="K28" s="5" t="inlineStr">
        <is>
          <t>Q4 Plan</t>
        </is>
      </c>
      <c r="L28" s="11" t="inlineStr"/>
      <c r="M28" s="11" t="inlineStr"/>
    </row>
    <row r="29">
      <c r="A29" s="5" t="inlineStr">
        <is>
          <t>Learn (Days 15–30)</t>
        </is>
      </c>
      <c r="B29" s="5" t="n">
        <v>3</v>
      </c>
      <c r="C29" s="5" t="inlineStr">
        <is>
          <t>International Outlook: acquiring set-ups &amp; cross-border</t>
        </is>
      </c>
      <c r="D29" s="5" t="inlineStr">
        <is>
          <t>Payments &amp; Product</t>
        </is>
      </c>
      <c r="E29" s="5" t="inlineStr">
        <is>
          <t>Live</t>
        </is>
      </c>
      <c r="F29" s="5" t="n">
        <v>0.75</v>
      </c>
      <c r="G29" s="5" t="inlineStr">
        <is>
          <t>Michel Tornabene</t>
        </is>
      </c>
      <c r="H29" s="5" t="inlineStr">
        <is>
          <t>Ready</t>
        </is>
      </c>
      <c r="I29" s="5" t="inlineStr"/>
      <c r="J29" s="5" t="inlineStr"/>
      <c r="K29" s="5" t="inlineStr">
        <is>
          <t>Q4 Plan</t>
        </is>
      </c>
      <c r="L29" s="11" t="inlineStr"/>
      <c r="M29" s="11" t="inlineStr"/>
    </row>
    <row r="30">
      <c r="A30" s="5" t="inlineStr">
        <is>
          <t>Learn (Days 15–30)</t>
        </is>
      </c>
      <c r="B30" s="5" t="n">
        <v>3</v>
      </c>
      <c r="C30" s="5" t="inlineStr">
        <is>
          <t>Commercial Risk</t>
        </is>
      </c>
      <c r="D30" s="5" t="inlineStr">
        <is>
          <t>Payments &amp; Product</t>
        </is>
      </c>
      <c r="E30" s="5" t="inlineStr">
        <is>
          <t>Live</t>
        </is>
      </c>
      <c r="F30" s="5" t="n">
        <v>0.5</v>
      </c>
      <c r="G30" s="5" t="inlineStr">
        <is>
          <t>Michel Tornabene</t>
        </is>
      </c>
      <c r="H30" s="5" t="inlineStr">
        <is>
          <t>Ready</t>
        </is>
      </c>
      <c r="I30" s="5" t="inlineStr"/>
      <c r="J30" s="5" t="inlineStr"/>
      <c r="K30" s="5" t="inlineStr">
        <is>
          <t>Karlie Tracker</t>
        </is>
      </c>
      <c r="L30" s="11" t="inlineStr"/>
      <c r="M30" s="11" t="inlineStr"/>
    </row>
    <row r="31">
      <c r="A31" s="5" t="inlineStr">
        <is>
          <t>Learn (Days 15–30)</t>
        </is>
      </c>
      <c r="B31" s="5" t="n">
        <v>3</v>
      </c>
      <c r="C31" s="5" t="inlineStr">
        <is>
          <t>Intro to NORAM verticals &amp; where we win</t>
        </is>
      </c>
      <c r="D31" s="5" t="inlineStr">
        <is>
          <t>Payments &amp; Product</t>
        </is>
      </c>
      <c r="E31" s="5" t="inlineStr">
        <is>
          <t>Live</t>
        </is>
      </c>
      <c r="F31" s="5" t="n">
        <v>0.75</v>
      </c>
      <c r="G31" s="5" t="inlineStr">
        <is>
          <t>Francesco Falcone</t>
        </is>
      </c>
      <c r="H31" s="5" t="inlineStr">
        <is>
          <t>Ready</t>
        </is>
      </c>
      <c r="I31" s="5" t="inlineStr"/>
      <c r="J31" s="5" t="inlineStr">
        <is>
          <t>Pair this with the North America Vertical List in the NY repository.</t>
        </is>
      </c>
      <c r="K31" s="5" t="inlineStr">
        <is>
          <t>Q4 Plan</t>
        </is>
      </c>
      <c r="L31" s="11" t="inlineStr"/>
      <c r="M31" s="11" t="inlineStr"/>
    </row>
    <row r="32">
      <c r="A32" s="5" t="inlineStr">
        <is>
          <t>Learn (Days 15–30)</t>
        </is>
      </c>
      <c r="B32" s="5" t="n">
        <v>3</v>
      </c>
      <c r="C32" s="5" t="inlineStr">
        <is>
          <t>Weekly call-review hour begins (Clari gametapes)</t>
        </is>
      </c>
      <c r="D32" s="5" t="inlineStr">
        <is>
          <t>Sales Skills</t>
        </is>
      </c>
      <c r="E32" s="5" t="inlineStr">
        <is>
          <t>Practice</t>
        </is>
      </c>
      <c r="F32" s="5" t="n">
        <v>1</v>
      </c>
      <c r="G32" s="5" t="inlineStr">
        <is>
          <t>Jim Cho + Francesco Falcone</t>
        </is>
      </c>
      <c r="H32" s="5" t="inlineStr">
        <is>
          <t>Ready</t>
        </is>
      </c>
      <c r="I32" s="5" t="inlineStr"/>
      <c r="J32" s="5" t="inlineStr">
        <is>
          <t>Starts in Week 3, not Week 1, then runs weekly (Francesco's feedback).</t>
        </is>
      </c>
      <c r="K32" s="5" t="inlineStr">
        <is>
          <t>Q4 Plan</t>
        </is>
      </c>
      <c r="L32" s="11" t="inlineStr"/>
      <c r="M32" s="11" t="inlineStr"/>
    </row>
    <row r="33">
      <c r="A33" s="5" t="inlineStr">
        <is>
          <t>Learn (Days 15–30)</t>
        </is>
      </c>
      <c r="B33" s="5" t="n">
        <v>3</v>
      </c>
      <c r="C33" s="5" t="inlineStr">
        <is>
          <t>Outreach lab: openers, email personalisation &amp; gatekeepers</t>
        </is>
      </c>
      <c r="D33" s="5" t="inlineStr">
        <is>
          <t>Sales Skills</t>
        </is>
      </c>
      <c r="E33" s="5" t="inlineStr">
        <is>
          <t>Live</t>
        </is>
      </c>
      <c r="F33" s="5" t="n">
        <v>2</v>
      </c>
      <c r="G33" s="5" t="inlineStr">
        <is>
          <t>J.J. Henry</t>
        </is>
      </c>
      <c r="H33" s="5" t="inlineStr">
        <is>
          <t>Ready</t>
        </is>
      </c>
      <c r="I33" s="5" t="inlineStr"/>
      <c r="J33" s="5" t="inlineStr"/>
      <c r="K33" s="5" t="inlineStr">
        <is>
          <t>Karlie Tracker</t>
        </is>
      </c>
      <c r="L33" s="11" t="inlineStr"/>
      <c r="M33" s="11" t="inlineStr"/>
    </row>
    <row r="34">
      <c r="A34" s="5" t="inlineStr">
        <is>
          <t>Learn (Days 15–30)</t>
        </is>
      </c>
      <c r="B34" s="5" t="n">
        <v>4</v>
      </c>
      <c r="C34" s="5" t="inlineStr">
        <is>
          <t>Product Foundations: Protect, Boost &amp; Manage</t>
        </is>
      </c>
      <c r="D34" s="5" t="inlineStr">
        <is>
          <t>Payments &amp; Product</t>
        </is>
      </c>
      <c r="E34" s="5" t="inlineStr">
        <is>
          <t>Self-paced</t>
        </is>
      </c>
      <c r="F34" s="5" t="n">
        <v>2.5</v>
      </c>
      <c r="G34" s="5" t="inlineStr">
        <is>
          <t>Self-directed</t>
        </is>
      </c>
      <c r="H34" s="5" t="inlineStr">
        <is>
          <t>Ready</t>
        </is>
      </c>
      <c r="I34" s="5" t="inlineStr"/>
      <c r="J34" s="5" t="inlineStr"/>
      <c r="K34" s="5" t="inlineStr">
        <is>
          <t>Karlie Tracker</t>
        </is>
      </c>
      <c r="L34" s="11" t="inlineStr"/>
      <c r="M34" s="11" t="inlineStr"/>
    </row>
    <row r="35">
      <c r="A35" s="5" t="inlineStr">
        <is>
          <t>Learn (Days 15–30)</t>
        </is>
      </c>
      <c r="B35" s="5" t="n">
        <v>4</v>
      </c>
      <c r="C35" s="5" t="inlineStr">
        <is>
          <t>Pillars in live deals: Protect, Boost &amp; Manage</t>
        </is>
      </c>
      <c r="D35" s="5" t="inlineStr">
        <is>
          <t>Payments &amp; Product</t>
        </is>
      </c>
      <c r="E35" s="5" t="inlineStr">
        <is>
          <t>Live</t>
        </is>
      </c>
      <c r="F35" s="5" t="n">
        <v>1</v>
      </c>
      <c r="G35" s="5" t="inlineStr">
        <is>
          <t>Pod leads</t>
        </is>
      </c>
      <c r="H35" s="5" t="inlineStr">
        <is>
          <t>Refresh</t>
        </is>
      </c>
      <c r="I35" s="5" t="inlineStr"/>
      <c r="J35" s="5" t="inlineStr">
        <is>
          <t>Same 30-minute live-deal format as Week 3.</t>
        </is>
      </c>
      <c r="K35" s="5" t="inlineStr">
        <is>
          <t>Q4 Plan</t>
        </is>
      </c>
      <c r="L35" s="11" t="inlineStr"/>
      <c r="M35" s="11" t="inlineStr"/>
    </row>
    <row r="36">
      <c r="A36" s="5" t="inlineStr">
        <is>
          <t>Learn (Days 15–30)</t>
        </is>
      </c>
      <c r="B36" s="5" t="n">
        <v>4</v>
      </c>
      <c r="C36" s="5" t="inlineStr">
        <is>
          <t>Payment Performance AMA (Boost)</t>
        </is>
      </c>
      <c r="D36" s="5" t="inlineStr">
        <is>
          <t>Payments &amp; Product</t>
        </is>
      </c>
      <c r="E36" s="5" t="inlineStr">
        <is>
          <t>Live</t>
        </is>
      </c>
      <c r="F36" s="5" t="n">
        <v>1</v>
      </c>
      <c r="G36" s="5" t="inlineStr">
        <is>
          <t>Daniel Linder</t>
        </is>
      </c>
      <c r="H36" s="5" t="inlineStr">
        <is>
          <t>Ready</t>
        </is>
      </c>
      <c r="I36" s="5" t="inlineStr"/>
      <c r="J36" s="5" t="inlineStr">
        <is>
          <t>Focus on Boost, Daniel's pillar.</t>
        </is>
      </c>
      <c r="K36" s="5" t="inlineStr">
        <is>
          <t>Q4 Plan</t>
        </is>
      </c>
      <c r="L36" s="11" t="inlineStr"/>
      <c r="M36" s="11" t="inlineStr"/>
    </row>
    <row r="37">
      <c r="A37" s="5" t="inlineStr">
        <is>
          <t>Learn (Days 15–30)</t>
        </is>
      </c>
      <c r="B37" s="5" t="n">
        <v>4</v>
      </c>
      <c r="C37" s="5" t="inlineStr">
        <is>
          <t>Account list review: your Top 70</t>
        </is>
      </c>
      <c r="D37" s="5" t="inlineStr">
        <is>
          <t>Sales Skills</t>
        </is>
      </c>
      <c r="E37" s="5" t="inlineStr">
        <is>
          <t>Practice</t>
        </is>
      </c>
      <c r="F37" s="5" t="n">
        <v>1</v>
      </c>
      <c r="G37" s="5" t="inlineStr">
        <is>
          <t>Line manager</t>
        </is>
      </c>
      <c r="H37" s="5" t="inlineStr">
        <is>
          <t>Ready</t>
        </is>
      </c>
      <c r="I37" s="5" t="inlineStr"/>
      <c r="J37" s="5" t="inlineStr"/>
      <c r="K37" s="5" t="inlineStr">
        <is>
          <t>Karlie Tracker</t>
        </is>
      </c>
      <c r="L37" s="11" t="inlineStr"/>
      <c r="M37" s="11" t="inlineStr"/>
    </row>
    <row r="38">
      <c r="A38" s="5" t="inlineStr">
        <is>
          <t>Learn (Days 15–30)</t>
        </is>
      </c>
      <c r="B38" s="5" t="n">
        <v>4</v>
      </c>
      <c r="C38" s="5" t="inlineStr">
        <is>
          <t>RevWay 4–5: Discovery &amp; Explore phases</t>
        </is>
      </c>
      <c r="D38" s="5" t="inlineStr">
        <is>
          <t>Sales Skills</t>
        </is>
      </c>
      <c r="E38" s="5" t="inlineStr">
        <is>
          <t>Self-paced</t>
        </is>
      </c>
      <c r="F38" s="5" t="n">
        <v>2.5</v>
      </c>
      <c r="G38" s="5" t="inlineStr">
        <is>
          <t>Self-directed</t>
        </is>
      </c>
      <c r="H38" s="5" t="inlineStr">
        <is>
          <t>Ready</t>
        </is>
      </c>
      <c r="I38" s="5" t="inlineStr"/>
      <c r="J38" s="5" t="inlineStr"/>
      <c r="K38" s="5" t="inlineStr">
        <is>
          <t>Q4 Plan</t>
        </is>
      </c>
      <c r="L38" s="11" t="inlineStr"/>
      <c r="M38" s="11" t="inlineStr"/>
    </row>
    <row r="39">
      <c r="A39" s="5" t="inlineStr">
        <is>
          <t>Learn (Days 15–30)</t>
        </is>
      </c>
      <c r="B39" s="5" t="n">
        <v>4</v>
      </c>
      <c r="C39" s="5" t="inlineStr">
        <is>
          <t>Cold-call role play</t>
        </is>
      </c>
      <c r="D39" s="5" t="inlineStr">
        <is>
          <t>Sales Skills</t>
        </is>
      </c>
      <c r="E39" s="5" t="inlineStr">
        <is>
          <t>Practice</t>
        </is>
      </c>
      <c r="F39" s="5" t="n">
        <v>0.5</v>
      </c>
      <c r="G39" s="5" t="inlineStr">
        <is>
          <t>J.J. Henry</t>
        </is>
      </c>
      <c r="H39" s="5" t="inlineStr">
        <is>
          <t>Ready</t>
        </is>
      </c>
      <c r="I39" s="5" t="inlineStr"/>
      <c r="J39" s="5" t="inlineStr"/>
      <c r="K39" s="5" t="inlineStr">
        <is>
          <t>Karlie Tracker</t>
        </is>
      </c>
      <c r="L39" s="11" t="inlineStr"/>
      <c r="M39" s="11" t="inlineStr"/>
    </row>
    <row r="40">
      <c r="A40" s="5" t="inlineStr">
        <is>
          <t>Learn (Days 15–30)</t>
        </is>
      </c>
      <c r="B40" s="5" t="n">
        <v>4</v>
      </c>
      <c r="C40" s="5" t="inlineStr">
        <is>
          <t>Day 30 Checkpoint: elevator pitch + five-pillar knowledge check</t>
        </is>
      </c>
      <c r="D40" s="5" t="inlineStr">
        <is>
          <t>Certification</t>
        </is>
      </c>
      <c r="E40" s="5" t="inlineStr">
        <is>
          <t>Certification</t>
        </is>
      </c>
      <c r="F40" s="5" t="n">
        <v>1</v>
      </c>
      <c r="G40" s="5" t="inlineStr">
        <is>
          <t>Line manager + Enablement</t>
        </is>
      </c>
      <c r="H40" s="5" t="inlineStr">
        <is>
          <t>Refresh</t>
        </is>
      </c>
      <c r="I40" s="5" t="inlineStr">
        <is>
          <t>Day 30</t>
        </is>
      </c>
      <c r="J40" s="5" t="inlineStr">
        <is>
          <t>Combine today's elevator-pitch reviews and pillar Kahoots into one recorded gate.</t>
        </is>
      </c>
      <c r="K40" s="5" t="inlineStr">
        <is>
          <t>Karlie Tracker</t>
        </is>
      </c>
      <c r="L40" s="11" t="inlineStr"/>
      <c r="M40" s="11" t="inlineStr"/>
    </row>
    <row r="41">
      <c r="A41" s="5" t="inlineStr">
        <is>
          <t>Practice (Days 31–60)</t>
        </is>
      </c>
      <c r="B41" s="5" t="n">
        <v>5</v>
      </c>
      <c r="C41" s="5" t="inlineStr">
        <is>
          <t>Vertical deep dives: Digital Content and Ecommerce</t>
        </is>
      </c>
      <c r="D41" s="5" t="inlineStr">
        <is>
          <t>Payments &amp; Product</t>
        </is>
      </c>
      <c r="E41" s="5" t="inlineStr">
        <is>
          <t>Live</t>
        </is>
      </c>
      <c r="F41" s="5" t="n">
        <v>1.5</v>
      </c>
      <c r="G41" s="5" t="inlineStr">
        <is>
          <t>Jules Gay / Katie Wile</t>
        </is>
      </c>
      <c r="H41" s="5" t="inlineStr">
        <is>
          <t>Ready</t>
        </is>
      </c>
      <c r="I41" s="5" t="inlineStr"/>
      <c r="J41" s="5" t="inlineStr"/>
      <c r="K41" s="5" t="inlineStr">
        <is>
          <t>Q4 Plan</t>
        </is>
      </c>
      <c r="L41" s="11" t="inlineStr"/>
      <c r="M41" s="11" t="inlineStr"/>
    </row>
    <row r="42">
      <c r="A42" s="5" t="inlineStr">
        <is>
          <t>Practice (Days 31–60)</t>
        </is>
      </c>
      <c r="B42" s="5" t="n">
        <v>5</v>
      </c>
      <c r="C42" s="5" t="inlineStr">
        <is>
          <t>Vertical deep dives: Neobank &amp; Remittance (AFT/OCT), Consumer Lending &amp; Proptech</t>
        </is>
      </c>
      <c r="D42" s="5" t="inlineStr">
        <is>
          <t>Payments &amp; Product</t>
        </is>
      </c>
      <c r="E42" s="5" t="inlineStr">
        <is>
          <t>Live</t>
        </is>
      </c>
      <c r="F42" s="5" t="n">
        <v>1.5</v>
      </c>
      <c r="G42" s="5" t="inlineStr">
        <is>
          <t>Olivia Smith / Octavio Balcazar</t>
        </is>
      </c>
      <c r="H42" s="5" t="inlineStr">
        <is>
          <t>Ready</t>
        </is>
      </c>
      <c r="I42" s="5" t="inlineStr"/>
      <c r="J42" s="5" t="inlineStr"/>
      <c r="K42" s="5" t="inlineStr">
        <is>
          <t>Q4 Plan</t>
        </is>
      </c>
      <c r="L42" s="11" t="inlineStr"/>
      <c r="M42" s="11" t="inlineStr"/>
    </row>
    <row r="43">
      <c r="A43" s="5" t="inlineStr">
        <is>
          <t>Practice (Days 31–60)</t>
        </is>
      </c>
      <c r="B43" s="5" t="n">
        <v>5</v>
      </c>
      <c r="C43" s="5" t="inlineStr">
        <is>
          <t>Intro to Deal Management &amp; Deal Desk</t>
        </is>
      </c>
      <c r="D43" s="5" t="inlineStr">
        <is>
          <t>Tools &amp; Process</t>
        </is>
      </c>
      <c r="E43" s="5" t="inlineStr">
        <is>
          <t>Live</t>
        </is>
      </c>
      <c r="F43" s="5" t="n">
        <v>0.5</v>
      </c>
      <c r="G43" s="5" t="inlineStr">
        <is>
          <t>Faith Bergman</t>
        </is>
      </c>
      <c r="H43" s="5" t="inlineStr">
        <is>
          <t>Ready</t>
        </is>
      </c>
      <c r="I43" s="5" t="inlineStr"/>
      <c r="J43" s="5" t="inlineStr"/>
      <c r="K43" s="5" t="inlineStr">
        <is>
          <t>Karlie Tracker</t>
        </is>
      </c>
      <c r="L43" s="11" t="inlineStr"/>
      <c r="M43" s="11" t="inlineStr"/>
    </row>
    <row r="44">
      <c r="A44" s="5" t="inlineStr">
        <is>
          <t>Practice (Days 31–60)</t>
        </is>
      </c>
      <c r="B44" s="5" t="n">
        <v>5</v>
      </c>
      <c r="C44" s="5" t="inlineStr">
        <is>
          <t>Partner ecosystem: who we sell with and how</t>
        </is>
      </c>
      <c r="D44" s="5" t="inlineStr">
        <is>
          <t>Payments &amp; Product</t>
        </is>
      </c>
      <c r="E44" s="5" t="inlineStr">
        <is>
          <t>Live</t>
        </is>
      </c>
      <c r="F44" s="5" t="n">
        <v>1</v>
      </c>
      <c r="G44" s="5" t="inlineStr">
        <is>
          <t>Jim Cho / Francesco Falcone / Jaime Yeager</t>
        </is>
      </c>
      <c r="H44" s="5" t="inlineStr">
        <is>
          <t>Ready</t>
        </is>
      </c>
      <c r="I44" s="5" t="inlineStr"/>
      <c r="J44" s="5" t="inlineStr"/>
      <c r="K44" s="5" t="inlineStr">
        <is>
          <t>Q4 Plan</t>
        </is>
      </c>
      <c r="L44" s="11" t="inlineStr"/>
      <c r="M44" s="11" t="inlineStr"/>
    </row>
    <row r="45">
      <c r="A45" s="5" t="inlineStr">
        <is>
          <t>Practice (Days 31–60)</t>
        </is>
      </c>
      <c r="B45" s="5" t="n">
        <v>5</v>
      </c>
      <c r="C45" s="5" t="inlineStr">
        <is>
          <t>Build your prospecting cadence (Apollo)</t>
        </is>
      </c>
      <c r="D45" s="5" t="inlineStr">
        <is>
          <t>Sales Skills</t>
        </is>
      </c>
      <c r="E45" s="5" t="inlineStr">
        <is>
          <t>Practice</t>
        </is>
      </c>
      <c r="F45" s="5" t="n">
        <v>0.5</v>
      </c>
      <c r="G45" s="5" t="inlineStr">
        <is>
          <t>Ronak Bali</t>
        </is>
      </c>
      <c r="H45" s="5" t="inlineStr">
        <is>
          <t>Ready</t>
        </is>
      </c>
      <c r="I45" s="5" t="inlineStr"/>
      <c r="J45" s="5" t="inlineStr"/>
      <c r="K45" s="5" t="inlineStr">
        <is>
          <t>Q4 Plan</t>
        </is>
      </c>
      <c r="L45" s="11" t="inlineStr"/>
      <c r="M45" s="11" t="inlineStr"/>
    </row>
    <row r="46">
      <c r="A46" s="5" t="inlineStr">
        <is>
          <t>Practice (Days 31–60)</t>
        </is>
      </c>
      <c r="B46" s="5" t="n">
        <v>6</v>
      </c>
      <c r="C46" s="5" t="inlineStr">
        <is>
          <t>ISV, Marketplace &amp; MoR deep dive</t>
        </is>
      </c>
      <c r="D46" s="5" t="inlineStr">
        <is>
          <t>Payments &amp; Product</t>
        </is>
      </c>
      <c r="E46" s="5" t="inlineStr">
        <is>
          <t>Live</t>
        </is>
      </c>
      <c r="F46" s="5" t="n">
        <v>0.5</v>
      </c>
      <c r="G46" s="5" t="inlineStr">
        <is>
          <t>Michael Taylor</t>
        </is>
      </c>
      <c r="H46" s="5" t="inlineStr">
        <is>
          <t>Ready</t>
        </is>
      </c>
      <c r="I46" s="5" t="inlineStr"/>
      <c r="J46" s="5" t="inlineStr"/>
      <c r="K46" s="5" t="inlineStr">
        <is>
          <t>Q4 Plan</t>
        </is>
      </c>
      <c r="L46" s="11" t="inlineStr"/>
      <c r="M46" s="11" t="inlineStr"/>
    </row>
    <row r="47">
      <c r="A47" s="5" t="inlineStr">
        <is>
          <t>Practice (Days 31–60)</t>
        </is>
      </c>
      <c r="B47" s="5" t="n">
        <v>6</v>
      </c>
      <c r="C47" s="5" t="inlineStr">
        <is>
          <t>Pay to Card, Pay to Bank &amp; FX</t>
        </is>
      </c>
      <c r="D47" s="5" t="inlineStr">
        <is>
          <t>Payments &amp; Product</t>
        </is>
      </c>
      <c r="E47" s="5" t="inlineStr">
        <is>
          <t>Live</t>
        </is>
      </c>
      <c r="F47" s="5" t="n">
        <v>1</v>
      </c>
      <c r="G47" s="5" t="inlineStr">
        <is>
          <t>Olivia Smith</t>
        </is>
      </c>
      <c r="H47" s="5" t="inlineStr">
        <is>
          <t>Ready</t>
        </is>
      </c>
      <c r="I47" s="5" t="inlineStr"/>
      <c r="J47" s="5" t="inlineStr"/>
      <c r="K47" s="5" t="inlineStr">
        <is>
          <t>Q4 Plan</t>
        </is>
      </c>
      <c r="L47" s="11" t="inlineStr"/>
      <c r="M47" s="11" t="inlineStr"/>
    </row>
    <row r="48">
      <c r="A48" s="5" t="inlineStr">
        <is>
          <t>Practice (Days 31–60)</t>
        </is>
      </c>
      <c r="B48" s="5" t="n">
        <v>6</v>
      </c>
      <c r="C48" s="5" t="inlineStr">
        <is>
          <t>Visa Direct: AFTs &amp; card payouts</t>
        </is>
      </c>
      <c r="D48" s="5" t="inlineStr">
        <is>
          <t>Payments &amp; Product</t>
        </is>
      </c>
      <c r="E48" s="5" t="inlineStr">
        <is>
          <t>Live</t>
        </is>
      </c>
      <c r="F48" s="5" t="n">
        <v>0.5</v>
      </c>
      <c r="G48" s="5" t="inlineStr">
        <is>
          <t>Amber McClure</t>
        </is>
      </c>
      <c r="H48" s="5" t="inlineStr">
        <is>
          <t>Refresh</t>
        </is>
      </c>
      <c r="I48" s="5" t="inlineStr"/>
      <c r="J48" s="5" t="inlineStr">
        <is>
          <t>Paused while partnership terms are revamped. Bring it back when the new terms are ready.</t>
        </is>
      </c>
      <c r="K48" s="5" t="inlineStr">
        <is>
          <t>Q4 Plan</t>
        </is>
      </c>
      <c r="L48" s="11" t="inlineStr"/>
      <c r="M48" s="11" t="inlineStr"/>
    </row>
    <row r="49">
      <c r="A49" s="5" t="inlineStr">
        <is>
          <t>Practice (Days 31–60)</t>
        </is>
      </c>
      <c r="B49" s="5" t="n">
        <v>6</v>
      </c>
      <c r="C49" s="5" t="inlineStr">
        <is>
          <t>Technical integration &amp; merchant onboarding experience</t>
        </is>
      </c>
      <c r="D49" s="5" t="inlineStr">
        <is>
          <t>Tools &amp; Process</t>
        </is>
      </c>
      <c r="E49" s="5" t="inlineStr">
        <is>
          <t>Live</t>
        </is>
      </c>
      <c r="F49" s="5" t="n">
        <v>0.5</v>
      </c>
      <c r="G49" s="5" t="inlineStr">
        <is>
          <t>Michael Taylor + Faith Bergman</t>
        </is>
      </c>
      <c r="H49" s="5" t="inlineStr">
        <is>
          <t>Ready</t>
        </is>
      </c>
      <c r="I49" s="5" t="inlineStr"/>
      <c r="J49" s="5" t="inlineStr"/>
      <c r="K49" s="5" t="inlineStr">
        <is>
          <t>Q4 Plan</t>
        </is>
      </c>
      <c r="L49" s="11" t="inlineStr"/>
      <c r="M49" s="11" t="inlineStr"/>
    </row>
    <row r="50">
      <c r="A50" s="5" t="inlineStr">
        <is>
          <t>Practice (Days 31–60)</t>
        </is>
      </c>
      <c r="B50" s="5" t="n">
        <v>6</v>
      </c>
      <c r="C50" s="5" t="inlineStr">
        <is>
          <t>Underwriting overview</t>
        </is>
      </c>
      <c r="D50" s="5" t="inlineStr">
        <is>
          <t>Tools &amp; Process</t>
        </is>
      </c>
      <c r="E50" s="5" t="inlineStr">
        <is>
          <t>Live</t>
        </is>
      </c>
      <c r="F50" s="5" t="n">
        <v>1</v>
      </c>
      <c r="G50" s="5" t="inlineStr">
        <is>
          <t>Jack Pontarelli</t>
        </is>
      </c>
      <c r="H50" s="5" t="inlineStr">
        <is>
          <t>Ready</t>
        </is>
      </c>
      <c r="I50" s="5" t="inlineStr"/>
      <c r="J50" s="5" t="inlineStr"/>
      <c r="K50" s="5" t="inlineStr">
        <is>
          <t>Karlie Tracker</t>
        </is>
      </c>
      <c r="L50" s="11" t="inlineStr"/>
      <c r="M50" s="11" t="inlineStr"/>
    </row>
    <row r="51">
      <c r="A51" s="5" t="inlineStr">
        <is>
          <t>Practice (Days 31–60)</t>
        </is>
      </c>
      <c r="B51" s="5" t="n">
        <v>6</v>
      </c>
      <c r="C51" s="5" t="inlineStr">
        <is>
          <t>RevWay 6–7: Questioning, funnel technique &amp; listening</t>
        </is>
      </c>
      <c r="D51" s="5" t="inlineStr">
        <is>
          <t>Sales Skills</t>
        </is>
      </c>
      <c r="E51" s="5" t="inlineStr">
        <is>
          <t>Self-paced</t>
        </is>
      </c>
      <c r="F51" s="5" t="n">
        <v>3</v>
      </c>
      <c r="G51" s="5" t="inlineStr">
        <is>
          <t>Self-directed</t>
        </is>
      </c>
      <c r="H51" s="5" t="inlineStr">
        <is>
          <t>Ready</t>
        </is>
      </c>
      <c r="I51" s="5" t="inlineStr"/>
      <c r="J51" s="5" t="inlineStr"/>
      <c r="K51" s="5" t="inlineStr">
        <is>
          <t>Q4 Plan</t>
        </is>
      </c>
      <c r="L51" s="11" t="inlineStr"/>
      <c r="M51" s="11" t="inlineStr"/>
    </row>
    <row r="52">
      <c r="A52" s="5" t="inlineStr">
        <is>
          <t>Practice (Days 31–60)</t>
        </is>
      </c>
      <c r="B52" s="5" t="n">
        <v>7</v>
      </c>
      <c r="C52" s="5" t="inlineStr">
        <is>
          <t>Voice of the customer: Head of Payments panel</t>
        </is>
      </c>
      <c r="D52" s="5" t="inlineStr">
        <is>
          <t>Payments &amp; Product</t>
        </is>
      </c>
      <c r="E52" s="5" t="inlineStr">
        <is>
          <t>Live</t>
        </is>
      </c>
      <c r="F52" s="5" t="n">
        <v>1.5</v>
      </c>
      <c r="G52" s="5" t="inlineStr">
        <is>
          <t>Jaime Yeager / Jim Cho</t>
        </is>
      </c>
      <c r="H52" s="5" t="inlineStr">
        <is>
          <t>Build</t>
        </is>
      </c>
      <c r="I52" s="5" t="inlineStr"/>
      <c r="J52" s="5" t="inlineStr">
        <is>
          <t>Planned in both SME trackers but never scheduled. Heads of Payments share what resonated in outreach and what didn't.</t>
        </is>
      </c>
      <c r="K52" s="5" t="inlineStr">
        <is>
          <t>Q4 Plan</t>
        </is>
      </c>
      <c r="L52" s="11" t="inlineStr"/>
      <c r="M52" s="11" t="inlineStr"/>
    </row>
    <row r="53">
      <c r="A53" s="5" t="inlineStr">
        <is>
          <t>Practice (Days 31–60)</t>
        </is>
      </c>
      <c r="B53" s="5" t="n">
        <v>7</v>
      </c>
      <c r="C53" s="5" t="inlineStr">
        <is>
          <t>Top-rep Q&amp;A, every two weeks</t>
        </is>
      </c>
      <c r="D53" s="5" t="inlineStr">
        <is>
          <t>People &amp; Network</t>
        </is>
      </c>
      <c r="E53" s="5" t="inlineStr">
        <is>
          <t>Live</t>
        </is>
      </c>
      <c r="F53" s="5" t="n">
        <v>0.5</v>
      </c>
      <c r="G53" s="5" t="inlineStr">
        <is>
          <t>Sam Boukhiam / Louis Taupin</t>
        </is>
      </c>
      <c r="H53" s="5" t="inlineStr">
        <is>
          <t>Build</t>
        </is>
      </c>
      <c r="I53" s="5" t="inlineStr"/>
      <c r="J53" s="5" t="inlineStr">
        <is>
          <t>Planned to 'start in Month 2' but never started. Sam's notes in the Q4 plan are the starting agenda.</t>
        </is>
      </c>
      <c r="K53" s="5" t="inlineStr">
        <is>
          <t>Q4 Plan</t>
        </is>
      </c>
      <c r="L53" s="11" t="inlineStr"/>
      <c r="M53" s="11" t="inlineStr"/>
    </row>
    <row r="54">
      <c r="A54" s="5" t="inlineStr">
        <is>
          <t>Practice (Days 31–60)</t>
        </is>
      </c>
      <c r="B54" s="5" t="n">
        <v>7</v>
      </c>
      <c r="C54" s="5" t="inlineStr">
        <is>
          <t>Vertical deep dives: Insurance and Gaming &amp; Gambling</t>
        </is>
      </c>
      <c r="D54" s="5" t="inlineStr">
        <is>
          <t>Payments &amp; Product</t>
        </is>
      </c>
      <c r="E54" s="5" t="inlineStr">
        <is>
          <t>Live</t>
        </is>
      </c>
      <c r="F54" s="5" t="n">
        <v>1</v>
      </c>
      <c r="G54" s="5" t="inlineStr">
        <is>
          <t>Olivia Smith / Aaron Popack</t>
        </is>
      </c>
      <c r="H54" s="5" t="inlineStr">
        <is>
          <t>Refresh</t>
        </is>
      </c>
      <c r="I54" s="5" t="inlineStr"/>
      <c r="J54" s="5" t="inlineStr">
        <is>
          <t>Both on hold ('wait for now'). Run Insurance virtually first.</t>
        </is>
      </c>
      <c r="K54" s="5" t="inlineStr">
        <is>
          <t>Q4 Plan</t>
        </is>
      </c>
      <c r="L54" s="11" t="inlineStr"/>
      <c r="M54" s="11" t="inlineStr"/>
    </row>
    <row r="55">
      <c r="A55" s="5" t="inlineStr">
        <is>
          <t>Practice (Days 31–60)</t>
        </is>
      </c>
      <c r="B55" s="5" t="n">
        <v>7</v>
      </c>
      <c r="C55" s="5" t="inlineStr">
        <is>
          <t>Canada &amp; the Canadian market</t>
        </is>
      </c>
      <c r="D55" s="5" t="inlineStr">
        <is>
          <t>Payments &amp; Product</t>
        </is>
      </c>
      <c r="E55" s="5" t="inlineStr">
        <is>
          <t>Live</t>
        </is>
      </c>
      <c r="F55" s="5" t="n">
        <v>0.5</v>
      </c>
      <c r="G55" s="5" t="inlineStr">
        <is>
          <t>Yousef Almawy</t>
        </is>
      </c>
      <c r="H55" s="5" t="inlineStr">
        <is>
          <t>Ready</t>
        </is>
      </c>
      <c r="I55" s="5" t="inlineStr"/>
      <c r="J55" s="5" t="inlineStr"/>
      <c r="K55" s="5" t="inlineStr">
        <is>
          <t>Q4 Plan</t>
        </is>
      </c>
      <c r="L55" s="11" t="inlineStr"/>
      <c r="M55" s="11" t="inlineStr"/>
    </row>
    <row r="56">
      <c r="A56" s="5" t="inlineStr">
        <is>
          <t>Practice (Days 31–60)</t>
        </is>
      </c>
      <c r="B56" s="5" t="n">
        <v>7</v>
      </c>
      <c r="C56" s="5" t="inlineStr">
        <is>
          <t>Role play with your pod lead</t>
        </is>
      </c>
      <c r="D56" s="5" t="inlineStr">
        <is>
          <t>Sales Skills</t>
        </is>
      </c>
      <c r="E56" s="5" t="inlineStr">
        <is>
          <t>Practice</t>
        </is>
      </c>
      <c r="F56" s="5" t="n">
        <v>0.5</v>
      </c>
      <c r="G56" s="5" t="inlineStr">
        <is>
          <t>Pod leads</t>
        </is>
      </c>
      <c r="H56" s="5" t="inlineStr">
        <is>
          <t>Ready</t>
        </is>
      </c>
      <c r="I56" s="5" t="inlineStr"/>
      <c r="J56" s="5" t="inlineStr"/>
      <c r="K56" s="5" t="inlineStr">
        <is>
          <t>Q4 Plan</t>
        </is>
      </c>
      <c r="L56" s="11" t="inlineStr"/>
      <c r="M56" s="11" t="inlineStr"/>
    </row>
    <row r="57">
      <c r="A57" s="5" t="inlineStr">
        <is>
          <t>Practice (Days 31–60)</t>
        </is>
      </c>
      <c r="B57" s="5" t="n">
        <v>8</v>
      </c>
      <c r="C57" s="5" t="inlineStr">
        <is>
          <t>Competitive deal clinic + refreshed battlecards</t>
        </is>
      </c>
      <c r="D57" s="5" t="inlineStr">
        <is>
          <t>Sales Skills</t>
        </is>
      </c>
      <c r="E57" s="5" t="inlineStr">
        <is>
          <t>Live</t>
        </is>
      </c>
      <c r="F57" s="5" t="n">
        <v>1</v>
      </c>
      <c r="G57" s="5" t="inlineStr">
        <is>
          <t>Jim Cho</t>
        </is>
      </c>
      <c r="H57" s="5" t="inlineStr">
        <is>
          <t>Refresh</t>
        </is>
      </c>
      <c r="I57" s="5" t="inlineStr"/>
      <c r="J57" s="5" t="inlineStr">
        <is>
          <t>The 'Why Checkout Wins' battlecard is flagged as outdated. Release refreshed battlecards with this session.</t>
        </is>
      </c>
      <c r="K57" s="5" t="inlineStr">
        <is>
          <t>NY Repository</t>
        </is>
      </c>
      <c r="L57" s="11" t="inlineStr"/>
      <c r="M57" s="11" t="inlineStr"/>
    </row>
    <row r="58">
      <c r="A58" s="5" t="inlineStr">
        <is>
          <t>Practice (Days 31–60)</t>
        </is>
      </c>
      <c r="B58" s="5" t="n">
        <v>8</v>
      </c>
      <c r="C58" s="5" t="inlineStr">
        <is>
          <t>Payment performance metrics that matter (auth rates, declines, tokens, cost)</t>
        </is>
      </c>
      <c r="D58" s="5" t="inlineStr">
        <is>
          <t>Payments &amp; Product</t>
        </is>
      </c>
      <c r="E58" s="5" t="inlineStr">
        <is>
          <t>Live</t>
        </is>
      </c>
      <c r="F58" s="5" t="n">
        <v>1</v>
      </c>
      <c r="G58" s="5" t="inlineStr">
        <is>
          <t>Solutions Engineering + Product</t>
        </is>
      </c>
      <c r="H58" s="5" t="inlineStr">
        <is>
          <t>Build</t>
        </is>
      </c>
      <c r="I58" s="5" t="inlineStr"/>
      <c r="J58" s="5" t="inlineStr">
        <is>
          <t>The numbers an AE has to quantify in discovery. Builds on the Decline Code and PPA cheat sheets.</t>
        </is>
      </c>
      <c r="K58" s="5" t="inlineStr">
        <is>
          <t>New</t>
        </is>
      </c>
      <c r="L58" s="11" t="inlineStr"/>
      <c r="M58" s="11" t="inlineStr"/>
    </row>
    <row r="59">
      <c r="A59" s="5" t="inlineStr">
        <is>
          <t>Practice (Days 31–60)</t>
        </is>
      </c>
      <c r="B59" s="5" t="n">
        <v>8</v>
      </c>
      <c r="C59" s="5" t="inlineStr">
        <is>
          <t>Explore call gametapes: what great sounds like</t>
        </is>
      </c>
      <c r="D59" s="5" t="inlineStr">
        <is>
          <t>Sales Skills</t>
        </is>
      </c>
      <c r="E59" s="5" t="inlineStr">
        <is>
          <t>Practice</t>
        </is>
      </c>
      <c r="F59" s="5" t="n">
        <v>1</v>
      </c>
      <c r="G59" s="5" t="inlineStr">
        <is>
          <t>Jim Cho + Francesco Falcone</t>
        </is>
      </c>
      <c r="H59" s="5" t="inlineStr">
        <is>
          <t>Refresh</t>
        </is>
      </c>
      <c r="I59" s="5" t="inlineStr"/>
      <c r="J59" s="5" t="inlineStr">
        <is>
          <t>Curate an Explore-only playlist in the Clari USA call repo, with timestamps to listen for.</t>
        </is>
      </c>
      <c r="K59" s="5" t="inlineStr">
        <is>
          <t>NY Repository</t>
        </is>
      </c>
      <c r="L59" s="11" t="inlineStr"/>
      <c r="M59" s="11" t="inlineStr"/>
    </row>
    <row r="60">
      <c r="A60" s="5" t="inlineStr">
        <is>
          <t>Practice (Days 31–60)</t>
        </is>
      </c>
      <c r="B60" s="5" t="n">
        <v>9</v>
      </c>
      <c r="C60" s="5" t="inlineStr">
        <is>
          <t>Explore Call Masterclass: running discovery the Checkout way</t>
        </is>
      </c>
      <c r="D60" s="5" t="inlineStr">
        <is>
          <t>Sales Skills</t>
        </is>
      </c>
      <c r="E60" s="5" t="inlineStr">
        <is>
          <t>Live</t>
        </is>
      </c>
      <c r="F60" s="5" t="n">
        <v>1.5</v>
      </c>
      <c r="G60" s="5" t="inlineStr">
        <is>
          <t>Enablement + top AE</t>
        </is>
      </c>
      <c r="H60" s="5" t="inlineStr">
        <is>
          <t>Build</t>
        </is>
      </c>
      <c r="I60" s="5" t="inlineStr">
        <is>
          <t>Day 60 stack</t>
        </is>
      </c>
      <c r="J60" s="5" t="inlineStr">
        <is>
          <t>Live, AE-specific application of RevWay 5–6: agenda, upfront contract, DEPTH funnel and summarise-to-commit.</t>
        </is>
      </c>
      <c r="K60" s="5" t="inlineStr">
        <is>
          <t>New</t>
        </is>
      </c>
      <c r="L60" s="11" t="inlineStr"/>
      <c r="M60" s="11" t="inlineStr"/>
    </row>
    <row r="61">
      <c r="A61" s="5" t="inlineStr">
        <is>
          <t>Practice (Days 31–60)</t>
        </is>
      </c>
      <c r="B61" s="5" t="n">
        <v>9</v>
      </c>
      <c r="C61" s="5" t="inlineStr">
        <is>
          <t>Payments discovery question bank &amp; value hypothesis</t>
        </is>
      </c>
      <c r="D61" s="5" t="inlineStr">
        <is>
          <t>Sales Skills</t>
        </is>
      </c>
      <c r="E61" s="5" t="inlineStr">
        <is>
          <t>Live</t>
        </is>
      </c>
      <c r="F61" s="5" t="n">
        <v>1</v>
      </c>
      <c r="G61" s="5" t="inlineStr">
        <is>
          <t>Enablement + Solutions Engineering</t>
        </is>
      </c>
      <c r="H61" s="5" t="inlineStr">
        <is>
          <t>Build</t>
        </is>
      </c>
      <c r="I61" s="5" t="inlineStr">
        <is>
          <t>Day 60 stack</t>
        </is>
      </c>
      <c r="J61" s="5" t="inlineStr">
        <is>
          <t>Questions by persona and pillar, plus a one-page value-hypothesis template (auth uplift, fraud, cost, APM coverage, payouts).</t>
        </is>
      </c>
      <c r="K61" s="5" t="inlineStr">
        <is>
          <t>New</t>
        </is>
      </c>
      <c r="L61" s="11" t="inlineStr"/>
      <c r="M61" s="11" t="inlineStr"/>
    </row>
    <row r="62">
      <c r="A62" s="5" t="inlineStr">
        <is>
          <t>Practice (Days 31–60)</t>
        </is>
      </c>
      <c r="B62" s="5" t="n">
        <v>9</v>
      </c>
      <c r="C62" s="5" t="inlineStr">
        <is>
          <t>Explore role-play sprint</t>
        </is>
      </c>
      <c r="D62" s="5" t="inlineStr">
        <is>
          <t>Sales Skills</t>
        </is>
      </c>
      <c r="E62" s="5" t="inlineStr">
        <is>
          <t>Practice</t>
        </is>
      </c>
      <c r="F62" s="5" t="n">
        <v>1.5</v>
      </c>
      <c r="G62" s="5" t="inlineStr">
        <is>
          <t>Pod leads + buddy</t>
        </is>
      </c>
      <c r="H62" s="5" t="inlineStr">
        <is>
          <t>Ready</t>
        </is>
      </c>
      <c r="I62" s="5" t="inlineStr">
        <is>
          <t>Day 60 stack</t>
        </is>
      </c>
      <c r="J62" s="5" t="inlineStr">
        <is>
          <t>Three timed reps against three personas, with feedback on the certification rubric.</t>
        </is>
      </c>
      <c r="K62" s="5" t="inlineStr">
        <is>
          <t>Q4 Plan</t>
        </is>
      </c>
      <c r="L62" s="11" t="inlineStr"/>
      <c r="M62" s="11" t="inlineStr"/>
    </row>
    <row r="63">
      <c r="A63" s="5" t="inlineStr">
        <is>
          <t>Practice (Days 31–60)</t>
        </is>
      </c>
      <c r="B63" s="5" t="n">
        <v>9</v>
      </c>
      <c r="C63" s="5" t="inlineStr">
        <is>
          <t>★ Explore Call Certification</t>
        </is>
      </c>
      <c r="D63" s="5" t="inlineStr">
        <is>
          <t>Certification</t>
        </is>
      </c>
      <c r="E63" s="5" t="inlineStr">
        <is>
          <t>Certification</t>
        </is>
      </c>
      <c r="F63" s="5" t="n">
        <v>1</v>
      </c>
      <c r="G63" s="5" t="inlineStr">
        <is>
          <t>Pod lead + Enablement</t>
        </is>
      </c>
      <c r="H63" s="5" t="inlineStr">
        <is>
          <t>Build</t>
        </is>
      </c>
      <c r="I63" s="5" t="inlineStr">
        <is>
          <t>Day 60 stack</t>
        </is>
      </c>
      <c r="J63" s="5" t="inlineStr">
        <is>
          <t>See the certification rubric.</t>
        </is>
      </c>
      <c r="K63" s="5" t="inlineStr">
        <is>
          <t>New</t>
        </is>
      </c>
      <c r="L63" s="11" t="inlineStr"/>
      <c r="M63" s="11" t="inlineStr"/>
    </row>
    <row r="64">
      <c r="A64" s="5" t="inlineStr">
        <is>
          <t>Practice (Days 31–60)</t>
        </is>
      </c>
      <c r="B64" s="5" t="n">
        <v>9</v>
      </c>
      <c r="C64" s="5" t="inlineStr">
        <is>
          <t>Day 60 review: pipeline, activity &amp; ramp check</t>
        </is>
      </c>
      <c r="D64" s="5" t="inlineStr">
        <is>
          <t>Tools &amp; Process</t>
        </is>
      </c>
      <c r="E64" s="5" t="inlineStr">
        <is>
          <t>Practice</t>
        </is>
      </c>
      <c r="F64" s="5" t="n">
        <v>0.5</v>
      </c>
      <c r="G64" s="5" t="inlineStr">
        <is>
          <t>Line manager</t>
        </is>
      </c>
      <c r="H64" s="5" t="inlineStr">
        <is>
          <t>Build</t>
        </is>
      </c>
      <c r="I64" s="5" t="inlineStr">
        <is>
          <t>Day 60 stack</t>
        </is>
      </c>
      <c r="J64" s="5" t="inlineStr">
        <is>
          <t>A structured 1:1 on pipeline created, meetings booked and cert results, with the next 30-day plan.</t>
        </is>
      </c>
      <c r="K64" s="5" t="inlineStr">
        <is>
          <t>New</t>
        </is>
      </c>
      <c r="L64" s="11" t="inlineStr"/>
      <c r="M64" s="11" t="inlineStr"/>
    </row>
    <row r="65">
      <c r="A65" s="5" t="inlineStr">
        <is>
          <t>Perform (Days 61–90)</t>
        </is>
      </c>
      <c r="B65" s="5" t="n">
        <v>10</v>
      </c>
      <c r="C65" s="5" t="inlineStr">
        <is>
          <t>Propose Masterclass</t>
        </is>
      </c>
      <c r="D65" s="5" t="inlineStr">
        <is>
          <t>Sales Skills</t>
        </is>
      </c>
      <c r="E65" s="5" t="inlineStr">
        <is>
          <t>Live</t>
        </is>
      </c>
      <c r="F65" s="5" t="n">
        <v>1.5</v>
      </c>
      <c r="G65" s="5" t="inlineStr">
        <is>
          <t>Enablement</t>
        </is>
      </c>
      <c r="H65" s="5" t="inlineStr">
        <is>
          <t>Ready</t>
        </is>
      </c>
      <c r="I65" s="5" t="inlineStr"/>
      <c r="J65" s="5" t="inlineStr"/>
      <c r="K65" s="5" t="inlineStr">
        <is>
          <t>Q4 Plan</t>
        </is>
      </c>
      <c r="L65" s="11" t="inlineStr"/>
      <c r="M65" s="11" t="inlineStr"/>
    </row>
    <row r="66">
      <c r="A66" s="5" t="inlineStr">
        <is>
          <t>Perform (Days 61–90)</t>
        </is>
      </c>
      <c r="B66" s="5" t="n">
        <v>10</v>
      </c>
      <c r="C66" s="5" t="inlineStr">
        <is>
          <t>Pricing guidance &amp; take rate</t>
        </is>
      </c>
      <c r="D66" s="5" t="inlineStr">
        <is>
          <t>Tools &amp; Process</t>
        </is>
      </c>
      <c r="E66" s="5" t="inlineStr">
        <is>
          <t>Live</t>
        </is>
      </c>
      <c r="F66" s="5" t="n">
        <v>1</v>
      </c>
      <c r="G66" s="5" t="inlineStr">
        <is>
          <t>Jim Cho + Francesco Falcone</t>
        </is>
      </c>
      <c r="H66" s="5" t="inlineStr">
        <is>
          <t>Build</t>
        </is>
      </c>
      <c r="I66" s="5" t="inlineStr"/>
      <c r="J66" s="5" t="inlineStr">
        <is>
          <t>Listed in the Q3 SME tracker but never scheduled. Covers guardrails, approvals and how to talk about price.</t>
        </is>
      </c>
      <c r="K66" s="5" t="inlineStr">
        <is>
          <t>Q4 Plan</t>
        </is>
      </c>
      <c r="L66" s="11" t="inlineStr"/>
      <c r="M66" s="11" t="inlineStr"/>
    </row>
    <row r="67">
      <c r="A67" s="5" t="inlineStr">
        <is>
          <t>Perform (Days 61–90)</t>
        </is>
      </c>
      <c r="B67" s="5" t="n">
        <v>10</v>
      </c>
      <c r="C67" s="5" t="inlineStr">
        <is>
          <t>Pricing calculator walk-through (real deal example)</t>
        </is>
      </c>
      <c r="D67" s="5" t="inlineStr">
        <is>
          <t>Tools &amp; Process</t>
        </is>
      </c>
      <c r="E67" s="5" t="inlineStr">
        <is>
          <t>Live</t>
        </is>
      </c>
      <c r="F67" s="5" t="n">
        <v>1</v>
      </c>
      <c r="G67" s="5" t="inlineStr">
        <is>
          <t>Jim Cho</t>
        </is>
      </c>
      <c r="H67" s="5" t="inlineStr">
        <is>
          <t>Ready</t>
        </is>
      </c>
      <c r="I67" s="5" t="inlineStr"/>
      <c r="J67" s="5" t="inlineStr"/>
      <c r="K67" s="5" t="inlineStr">
        <is>
          <t>Q4 Plan</t>
        </is>
      </c>
      <c r="L67" s="11" t="inlineStr"/>
      <c r="M67" s="11" t="inlineStr"/>
    </row>
    <row r="68">
      <c r="A68" s="5" t="inlineStr">
        <is>
          <t>Perform (Days 61–90)</t>
        </is>
      </c>
      <c r="B68" s="5" t="n">
        <v>10</v>
      </c>
      <c r="C68" s="5" t="inlineStr">
        <is>
          <t>AFT/OCT pricing calculator walk-through</t>
        </is>
      </c>
      <c r="D68" s="5" t="inlineStr">
        <is>
          <t>Tools &amp; Process</t>
        </is>
      </c>
      <c r="E68" s="5" t="inlineStr">
        <is>
          <t>Live</t>
        </is>
      </c>
      <c r="F68" s="5" t="n">
        <v>0.5</v>
      </c>
      <c r="G68" s="5" t="inlineStr">
        <is>
          <t>Vladimir Sterenko</t>
        </is>
      </c>
      <c r="H68" s="5" t="inlineStr">
        <is>
          <t>Ready</t>
        </is>
      </c>
      <c r="I68" s="5" t="inlineStr"/>
      <c r="J68" s="5" t="inlineStr"/>
      <c r="K68" s="5" t="inlineStr">
        <is>
          <t>Q4 Plan</t>
        </is>
      </c>
      <c r="L68" s="11" t="inlineStr"/>
      <c r="M68" s="11" t="inlineStr"/>
    </row>
    <row r="69">
      <c r="A69" s="5" t="inlineStr">
        <is>
          <t>Perform (Days 61–90)</t>
        </is>
      </c>
      <c r="B69" s="5" t="n">
        <v>10</v>
      </c>
      <c r="C69" s="5" t="inlineStr">
        <is>
          <t>RevWay 8–9: Propose &amp; Presentation Skills</t>
        </is>
      </c>
      <c r="D69" s="5" t="inlineStr">
        <is>
          <t>Sales Skills</t>
        </is>
      </c>
      <c r="E69" s="5" t="inlineStr">
        <is>
          <t>Self-paced</t>
        </is>
      </c>
      <c r="F69" s="5" t="n">
        <v>3.5</v>
      </c>
      <c r="G69" s="5" t="inlineStr">
        <is>
          <t>Self-directed</t>
        </is>
      </c>
      <c r="H69" s="5" t="inlineStr">
        <is>
          <t>Ready</t>
        </is>
      </c>
      <c r="I69" s="5" t="inlineStr"/>
      <c r="J69" s="5" t="inlineStr"/>
      <c r="K69" s="5" t="inlineStr">
        <is>
          <t>Q4 Plan</t>
        </is>
      </c>
      <c r="L69" s="11" t="inlineStr"/>
      <c r="M69" s="11" t="inlineStr"/>
    </row>
    <row r="70">
      <c r="A70" s="5" t="inlineStr">
        <is>
          <t>Perform (Days 61–90)</t>
        </is>
      </c>
      <c r="B70" s="5" t="n">
        <v>11</v>
      </c>
      <c r="C70" s="5" t="inlineStr">
        <is>
          <t>Payments economics: interchange++, fee &amp; cost analysis</t>
        </is>
      </c>
      <c r="D70" s="5" t="inlineStr">
        <is>
          <t>Payments &amp; Product</t>
        </is>
      </c>
      <c r="E70" s="5" t="inlineStr">
        <is>
          <t>Live</t>
        </is>
      </c>
      <c r="F70" s="5" t="n">
        <v>1.5</v>
      </c>
      <c r="G70" s="5" t="inlineStr">
        <is>
          <t>Deal Management + Solutions Engineering</t>
        </is>
      </c>
      <c r="H70" s="5" t="inlineStr">
        <is>
          <t>Build</t>
        </is>
      </c>
      <c r="I70" s="5" t="inlineStr"/>
      <c r="J70" s="5" t="inlineStr">
        <is>
          <t>The resources exist (Gopuff and Rhino + Jetty cost analyses, L2/L3 interchange) and are tagged 'cover later', but there's no session.</t>
        </is>
      </c>
      <c r="K70" s="5" t="inlineStr">
        <is>
          <t>NY Repository</t>
        </is>
      </c>
      <c r="L70" s="11" t="inlineStr"/>
      <c r="M70" s="11" t="inlineStr"/>
    </row>
    <row r="71">
      <c r="A71" s="5" t="inlineStr">
        <is>
          <t>Perform (Days 61–90)</t>
        </is>
      </c>
      <c r="B71" s="5" t="n">
        <v>11</v>
      </c>
      <c r="C71" s="5" t="inlineStr">
        <is>
          <t>Trade, deal structure &amp; negotiation case studies</t>
        </is>
      </c>
      <c r="D71" s="5" t="inlineStr">
        <is>
          <t>Sales Skills</t>
        </is>
      </c>
      <c r="E71" s="5" t="inlineStr">
        <is>
          <t>Live</t>
        </is>
      </c>
      <c r="F71" s="5" t="n">
        <v>1</v>
      </c>
      <c r="G71" s="5" t="inlineStr">
        <is>
          <t>Pod lead (TBD)</t>
        </is>
      </c>
      <c r="H71" s="5" t="inlineStr">
        <is>
          <t>Build</t>
        </is>
      </c>
      <c r="I71" s="5" t="inlineStr"/>
      <c r="J71" s="5" t="inlineStr">
        <is>
          <t>Negotiation, getting pricing approved, and minimum billing. The owner is still TBD in the SME tracker.</t>
        </is>
      </c>
      <c r="K71" s="5" t="inlineStr">
        <is>
          <t>Q4 Plan</t>
        </is>
      </c>
      <c r="L71" s="11" t="inlineStr"/>
      <c r="M71" s="11" t="inlineStr"/>
    </row>
    <row r="72">
      <c r="A72" s="5" t="inlineStr">
        <is>
          <t>Perform (Days 61–90)</t>
        </is>
      </c>
      <c r="B72" s="5" t="n">
        <v>11</v>
      </c>
      <c r="C72" s="5" t="inlineStr">
        <is>
          <t>Underwriting from the UW lens + MAF &amp; questionnaires</t>
        </is>
      </c>
      <c r="D72" s="5" t="inlineStr">
        <is>
          <t>Tools &amp; Process</t>
        </is>
      </c>
      <c r="E72" s="5" t="inlineStr">
        <is>
          <t>Live</t>
        </is>
      </c>
      <c r="F72" s="5" t="n">
        <v>1</v>
      </c>
      <c r="G72" s="5" t="inlineStr">
        <is>
          <t>Jarett Israel + Rithvik Nair</t>
        </is>
      </c>
      <c r="H72" s="5" t="inlineStr">
        <is>
          <t>Ready</t>
        </is>
      </c>
      <c r="I72" s="5" t="inlineStr"/>
      <c r="J72" s="5" t="inlineStr"/>
      <c r="K72" s="5" t="inlineStr">
        <is>
          <t>Q4 Plan</t>
        </is>
      </c>
      <c r="L72" s="11" t="inlineStr"/>
      <c r="M72" s="11" t="inlineStr"/>
    </row>
    <row r="73">
      <c r="A73" s="5" t="inlineStr">
        <is>
          <t>Perform (Days 61–90)</t>
        </is>
      </c>
      <c r="B73" s="5" t="n">
        <v>11</v>
      </c>
      <c r="C73" s="5" t="inlineStr">
        <is>
          <t>Objection handling drill + RevWay 10</t>
        </is>
      </c>
      <c r="D73" s="5" t="inlineStr">
        <is>
          <t>Sales Skills</t>
        </is>
      </c>
      <c r="E73" s="5" t="inlineStr">
        <is>
          <t>Practice</t>
        </is>
      </c>
      <c r="F73" s="5" t="n">
        <v>1.5</v>
      </c>
      <c r="G73" s="5" t="inlineStr">
        <is>
          <t>Enablement</t>
        </is>
      </c>
      <c r="H73" s="5" t="inlineStr">
        <is>
          <t>Refresh</t>
        </is>
      </c>
      <c r="I73" s="5" t="inlineStr"/>
      <c r="J73" s="5" t="inlineStr">
        <is>
          <t>Self-paced only today. Add a live drill that uses the competitive defense playbook.</t>
        </is>
      </c>
      <c r="K73" s="5" t="inlineStr">
        <is>
          <t>Q4 Plan</t>
        </is>
      </c>
      <c r="L73" s="11" t="inlineStr"/>
      <c r="M73" s="11" t="inlineStr"/>
    </row>
    <row r="74">
      <c r="A74" s="5" t="inlineStr">
        <is>
          <t>Perform (Days 61–90)</t>
        </is>
      </c>
      <c r="B74" s="5" t="n">
        <v>12</v>
      </c>
      <c r="C74" s="5" t="inlineStr">
        <is>
          <t>How to ramp a merchant: what happens after 'yes'</t>
        </is>
      </c>
      <c r="D74" s="5" t="inlineStr">
        <is>
          <t>Tools &amp; Process</t>
        </is>
      </c>
      <c r="E74" s="5" t="inlineStr">
        <is>
          <t>Live</t>
        </is>
      </c>
      <c r="F74" s="5" t="n">
        <v>0.5</v>
      </c>
      <c r="G74" s="5" t="inlineStr">
        <is>
          <t>Nicholas Schaffer</t>
        </is>
      </c>
      <c r="H74" s="5" t="inlineStr">
        <is>
          <t>Ready</t>
        </is>
      </c>
      <c r="I74" s="5" t="inlineStr"/>
      <c r="J74" s="5" t="inlineStr"/>
      <c r="K74" s="5" t="inlineStr">
        <is>
          <t>Q4 Plan</t>
        </is>
      </c>
      <c r="L74" s="11" t="inlineStr"/>
      <c r="M74" s="11" t="inlineStr"/>
    </row>
    <row r="75">
      <c r="A75" s="5" t="inlineStr">
        <is>
          <t>Perform (Days 61–90)</t>
        </is>
      </c>
      <c r="B75" s="5" t="n">
        <v>12</v>
      </c>
      <c r="C75" s="5" t="inlineStr">
        <is>
          <t>QBR walk-through</t>
        </is>
      </c>
      <c r="D75" s="5" t="inlineStr">
        <is>
          <t>Tools &amp; Process</t>
        </is>
      </c>
      <c r="E75" s="5" t="inlineStr">
        <is>
          <t>Live</t>
        </is>
      </c>
      <c r="F75" s="5" t="n">
        <v>0.5</v>
      </c>
      <c r="G75" s="5" t="inlineStr">
        <is>
          <t>Perrin Heyka</t>
        </is>
      </c>
      <c r="H75" s="5" t="inlineStr">
        <is>
          <t>Ready</t>
        </is>
      </c>
      <c r="I75" s="5" t="inlineStr"/>
      <c r="J75" s="5" t="inlineStr"/>
      <c r="K75" s="5" t="inlineStr">
        <is>
          <t>Q4 Plan</t>
        </is>
      </c>
      <c r="L75" s="11" t="inlineStr"/>
      <c r="M75" s="11" t="inlineStr"/>
    </row>
    <row r="76">
      <c r="A76" s="5" t="inlineStr">
        <is>
          <t>Perform (Days 61–90)</t>
        </is>
      </c>
      <c r="B76" s="5" t="n">
        <v>12</v>
      </c>
      <c r="C76" s="5" t="inlineStr">
        <is>
          <t>MBO, quota mechanics &amp; your path to quota</t>
        </is>
      </c>
      <c r="D76" s="5" t="inlineStr">
        <is>
          <t>Tools &amp; Process</t>
        </is>
      </c>
      <c r="E76" s="5" t="inlineStr">
        <is>
          <t>Live</t>
        </is>
      </c>
      <c r="F76" s="5" t="n">
        <v>1</v>
      </c>
      <c r="G76" s="5" t="inlineStr">
        <is>
          <t>Francesco Falcone + Jim Cho</t>
        </is>
      </c>
      <c r="H76" s="5" t="inlineStr">
        <is>
          <t>Refresh</t>
        </is>
      </c>
      <c r="I76" s="5" t="inlineStr"/>
      <c r="J76" s="5" t="inlineStr">
        <is>
          <t>Reschedule to 60 minutes with Jim, and invite newer hires.</t>
        </is>
      </c>
      <c r="K76" s="5" t="inlineStr">
        <is>
          <t>Q4 Plan</t>
        </is>
      </c>
      <c r="L76" s="11" t="inlineStr"/>
      <c r="M76" s="11" t="inlineStr"/>
    </row>
    <row r="77">
      <c r="A77" s="5" t="inlineStr">
        <is>
          <t>Perform (Days 61–90)</t>
        </is>
      </c>
      <c r="B77" s="5" t="n">
        <v>12</v>
      </c>
      <c r="C77" s="5" t="inlineStr">
        <is>
          <t>Working with Marketing &amp; the Strategic Accounts Team</t>
        </is>
      </c>
      <c r="D77" s="5" t="inlineStr">
        <is>
          <t>People &amp; Network</t>
        </is>
      </c>
      <c r="E77" s="5" t="inlineStr">
        <is>
          <t>Live</t>
        </is>
      </c>
      <c r="F77" s="5" t="n">
        <v>1</v>
      </c>
      <c r="G77" s="5" t="inlineStr">
        <is>
          <t>Marketing + Cyril Chemla</t>
        </is>
      </c>
      <c r="H77" s="5" t="inlineStr">
        <is>
          <t>Ready</t>
        </is>
      </c>
      <c r="I77" s="5" t="inlineStr"/>
      <c r="J77" s="5" t="inlineStr"/>
      <c r="K77" s="5" t="inlineStr">
        <is>
          <t>Q4 Plan</t>
        </is>
      </c>
      <c r="L77" s="11" t="inlineStr"/>
      <c r="M77" s="11" t="inlineStr"/>
    </row>
    <row r="78">
      <c r="A78" s="5" t="inlineStr">
        <is>
          <t>Perform (Days 61–90)</t>
        </is>
      </c>
      <c r="B78" s="5" t="n">
        <v>13</v>
      </c>
      <c r="C78" s="5" t="inlineStr">
        <is>
          <t>Storyline workshop: building a Checkout pitch deck</t>
        </is>
      </c>
      <c r="D78" s="5" t="inlineStr">
        <is>
          <t>Sales Skills</t>
        </is>
      </c>
      <c r="E78" s="5" t="inlineStr">
        <is>
          <t>Live</t>
        </is>
      </c>
      <c r="F78" s="5" t="n">
        <v>1.5</v>
      </c>
      <c r="G78" s="5" t="inlineStr">
        <is>
          <t>Enablement + Product Marketing</t>
        </is>
      </c>
      <c r="H78" s="5" t="inlineStr">
        <is>
          <t>Build</t>
        </is>
      </c>
      <c r="I78" s="5" t="inlineStr">
        <is>
          <t>Day 90 stack</t>
        </is>
      </c>
      <c r="J78" s="5" t="inlineStr">
        <is>
          <t>Insight → value → proof → plan, using the Great Decks library (GM, 1800 Contacts, Flutter RFP, Caesars).</t>
        </is>
      </c>
      <c r="K78" s="5" t="inlineStr">
        <is>
          <t>NY Repository</t>
        </is>
      </c>
      <c r="L78" s="11" t="inlineStr"/>
      <c r="M78" s="11" t="inlineStr"/>
    </row>
    <row r="79">
      <c r="A79" s="5" t="inlineStr">
        <is>
          <t>Perform (Days 61–90)</t>
        </is>
      </c>
      <c r="B79" s="5" t="n">
        <v>13</v>
      </c>
      <c r="C79" s="5" t="inlineStr">
        <is>
          <t>Business case lab: quantify the value</t>
        </is>
      </c>
      <c r="D79" s="5" t="inlineStr">
        <is>
          <t>Sales Skills</t>
        </is>
      </c>
      <c r="E79" s="5" t="inlineStr">
        <is>
          <t>Practice</t>
        </is>
      </c>
      <c r="F79" s="5" t="n">
        <v>1</v>
      </c>
      <c r="G79" s="5" t="inlineStr">
        <is>
          <t>Solutions Engineering + Deal Management</t>
        </is>
      </c>
      <c r="H79" s="5" t="inlineStr">
        <is>
          <t>Build</t>
        </is>
      </c>
      <c r="I79" s="5" t="inlineStr">
        <is>
          <t>Day 90 stack</t>
        </is>
      </c>
      <c r="J79" s="5" t="inlineStr">
        <is>
          <t>Turn the Day 60 value hypothesis into numbers using the pricing model and cost-analysis examples.</t>
        </is>
      </c>
      <c r="K79" s="5" t="inlineStr">
        <is>
          <t>New</t>
        </is>
      </c>
      <c r="L79" s="11" t="inlineStr"/>
      <c r="M79" s="11" t="inlineStr"/>
    </row>
    <row r="80">
      <c r="A80" s="5" t="inlineStr">
        <is>
          <t>Perform (Days 61–90)</t>
        </is>
      </c>
      <c r="B80" s="5" t="n">
        <v>13</v>
      </c>
      <c r="C80" s="5" t="inlineStr">
        <is>
          <t>Deck peer review &amp; dry run</t>
        </is>
      </c>
      <c r="D80" s="5" t="inlineStr">
        <is>
          <t>Sales Skills</t>
        </is>
      </c>
      <c r="E80" s="5" t="inlineStr">
        <is>
          <t>Practice</t>
        </is>
      </c>
      <c r="F80" s="5" t="n">
        <v>1</v>
      </c>
      <c r="G80" s="5" t="inlineStr">
        <is>
          <t>Buddy + pod</t>
        </is>
      </c>
      <c r="H80" s="5" t="inlineStr">
        <is>
          <t>Build</t>
        </is>
      </c>
      <c r="I80" s="5" t="inlineStr">
        <is>
          <t>Day 90 stack</t>
        </is>
      </c>
      <c r="J80" s="5" t="inlineStr"/>
      <c r="K80" s="5" t="inlineStr">
        <is>
          <t>New</t>
        </is>
      </c>
      <c r="L80" s="11" t="inlineStr"/>
      <c r="M80" s="11" t="inlineStr"/>
    </row>
    <row r="81">
      <c r="A81" s="5" t="inlineStr">
        <is>
          <t>Perform (Days 61–90)</t>
        </is>
      </c>
      <c r="B81" s="5" t="n">
        <v>13</v>
      </c>
      <c r="C81" s="5" t="inlineStr">
        <is>
          <t>★ Pitch Deck Certification</t>
        </is>
      </c>
      <c r="D81" s="5" t="inlineStr">
        <is>
          <t>Certification</t>
        </is>
      </c>
      <c r="E81" s="5" t="inlineStr">
        <is>
          <t>Certification</t>
        </is>
      </c>
      <c r="F81" s="5" t="n">
        <v>1</v>
      </c>
      <c r="G81" s="5" t="inlineStr">
        <is>
          <t>Panel: pod lead, SE, Enablement, guest leader</t>
        </is>
      </c>
      <c r="H81" s="5" t="inlineStr">
        <is>
          <t>Build</t>
        </is>
      </c>
      <c r="I81" s="5" t="inlineStr">
        <is>
          <t>Day 90 stack</t>
        </is>
      </c>
      <c r="J81" s="5" t="inlineStr">
        <is>
          <t>See the certification rubric.</t>
        </is>
      </c>
      <c r="K81" s="5" t="inlineStr">
        <is>
          <t>New</t>
        </is>
      </c>
      <c r="L81" s="11" t="inlineStr"/>
      <c r="M81" s="11" t="inlineStr"/>
    </row>
    <row r="82">
      <c r="A82" s="5" t="inlineStr">
        <is>
          <t>Perform (Days 61–90)</t>
        </is>
      </c>
      <c r="B82" s="5" t="n">
        <v>13</v>
      </c>
      <c r="C82" s="5" t="inlineStr">
        <is>
          <t>Day 90 review &amp; graduation to everboarding</t>
        </is>
      </c>
      <c r="D82" s="5" t="inlineStr">
        <is>
          <t>Tools &amp; Process</t>
        </is>
      </c>
      <c r="E82" s="5" t="inlineStr">
        <is>
          <t>Practice</t>
        </is>
      </c>
      <c r="F82" s="5" t="n">
        <v>0.5</v>
      </c>
      <c r="G82" s="5" t="inlineStr">
        <is>
          <t>Line manager + Enablement</t>
        </is>
      </c>
      <c r="H82" s="5" t="inlineStr">
        <is>
          <t>Build</t>
        </is>
      </c>
      <c r="I82" s="5" t="inlineStr">
        <is>
          <t>Day 90 stack</t>
        </is>
      </c>
      <c r="J82" s="5" t="inlineStr">
        <is>
          <t>Ramp review against quota trajectory, certifications logged, and an individual development plan for Days 91–180.</t>
        </is>
      </c>
      <c r="K82" s="5" t="inlineStr">
        <is>
          <t>New</t>
        </is>
      </c>
      <c r="L82" s="11" t="inlineStr"/>
      <c r="M82" s="11" t="inlineStr"/>
    </row>
    <row r="83">
      <c r="A83" s="5" t="inlineStr">
        <is>
          <t>Everboard (Day 90+)</t>
        </is>
      </c>
      <c r="B83" s="5" t="n">
        <v>14</v>
      </c>
      <c r="C83" s="5" t="inlineStr">
        <is>
          <t>Monthly sales skills session</t>
        </is>
      </c>
      <c r="D83" s="5" t="inlineStr">
        <is>
          <t>Sales Skills</t>
        </is>
      </c>
      <c r="E83" s="5" t="inlineStr">
        <is>
          <t>Live</t>
        </is>
      </c>
      <c r="F83" s="5" t="n">
        <v>1</v>
      </c>
      <c r="G83" s="5" t="inlineStr">
        <is>
          <t>Enablement</t>
        </is>
      </c>
      <c r="H83" s="5" t="inlineStr">
        <is>
          <t>Ready</t>
        </is>
      </c>
      <c r="I83" s="5" t="inlineStr"/>
      <c r="J83" s="5" t="inlineStr"/>
      <c r="K83" s="5" t="inlineStr">
        <is>
          <t>Q4 Plan</t>
        </is>
      </c>
      <c r="L83" s="11" t="inlineStr"/>
      <c r="M83" s="11" t="inlineStr"/>
    </row>
    <row r="84">
      <c r="A84" s="5" t="inlineStr">
        <is>
          <t>Everboard (Day 90+)</t>
        </is>
      </c>
      <c r="B84" s="5" t="n">
        <v>14</v>
      </c>
      <c r="C84" s="5" t="inlineStr">
        <is>
          <t>'How We Did It' at the sales all-hands</t>
        </is>
      </c>
      <c r="D84" s="5" t="inlineStr">
        <is>
          <t>Sales Skills</t>
        </is>
      </c>
      <c r="E84" s="5" t="inlineStr">
        <is>
          <t>Live</t>
        </is>
      </c>
      <c r="F84" s="5" t="n">
        <v>0.5</v>
      </c>
      <c r="G84" s="5" t="inlineStr">
        <is>
          <t>Octavio Balcazar / Olivia Smith</t>
        </is>
      </c>
      <c r="H84" s="5" t="inlineStr">
        <is>
          <t>Ready</t>
        </is>
      </c>
      <c r="I84" s="5" t="inlineStr"/>
      <c r="J84" s="5" t="inlineStr"/>
      <c r="K84" s="5" t="inlineStr">
        <is>
          <t>Q4 Plan</t>
        </is>
      </c>
      <c r="L84" s="11" t="inlineStr"/>
      <c r="M84" s="11" t="inlineStr"/>
    </row>
    <row r="85">
      <c r="A85" s="5" t="inlineStr">
        <is>
          <t>Everboard (Day 90+)</t>
        </is>
      </c>
      <c r="B85" s="5" t="n">
        <v>14</v>
      </c>
      <c r="C85" s="5" t="inlineStr">
        <is>
          <t>Call recording clinic, every two months</t>
        </is>
      </c>
      <c r="D85" s="5" t="inlineStr">
        <is>
          <t>Sales Skills</t>
        </is>
      </c>
      <c r="E85" s="5" t="inlineStr">
        <is>
          <t>Practice</t>
        </is>
      </c>
      <c r="F85" s="5" t="n">
        <v>0.75</v>
      </c>
      <c r="G85" s="5" t="inlineStr">
        <is>
          <t>Jim Cho + Francesco Falcone</t>
        </is>
      </c>
      <c r="H85" s="5" t="inlineStr">
        <is>
          <t>Ready</t>
        </is>
      </c>
      <c r="I85" s="5" t="inlineStr"/>
      <c r="J85" s="5" t="inlineStr"/>
      <c r="K85" s="5" t="inlineStr">
        <is>
          <t>Q4 Plan</t>
        </is>
      </c>
      <c r="L85" s="11" t="inlineStr"/>
      <c r="M85" s="11" t="inlineStr"/>
    </row>
    <row r="86">
      <c r="A86" s="5" t="inlineStr">
        <is>
          <t>Everboard (Day 90+)</t>
        </is>
      </c>
      <c r="B86" s="5" t="n">
        <v>14</v>
      </c>
      <c r="C86" s="5" t="inlineStr">
        <is>
          <t>Yearly recertification: Explore &amp; Pitch</t>
        </is>
      </c>
      <c r="D86" s="5" t="inlineStr">
        <is>
          <t>Certification</t>
        </is>
      </c>
      <c r="E86" s="5" t="inlineStr">
        <is>
          <t>Certification</t>
        </is>
      </c>
      <c r="F86" s="5" t="n">
        <v>1</v>
      </c>
      <c r="G86" s="5" t="inlineStr">
        <is>
          <t>Enablement</t>
        </is>
      </c>
      <c r="H86" s="5" t="inlineStr">
        <is>
          <t>Build</t>
        </is>
      </c>
      <c r="I86" s="5" t="inlineStr"/>
      <c r="J86" s="5" t="inlineStr">
        <is>
          <t>Keeps the bar consistent for tenured AEs (charter pillar 1: recertification rate).</t>
        </is>
      </c>
      <c r="K86" s="5" t="inlineStr">
        <is>
          <t>New</t>
        </is>
      </c>
      <c r="L86" s="11" t="inlineStr"/>
      <c r="M86" s="11" t="inlineStr"/>
    </row>
  </sheetData>
  <autoFilter ref="A3:M86"/>
  <conditionalFormatting sqref="H4:H500">
    <cfRule type="cellIs" priority="1" operator="equal" dxfId="0">
      <formula>"Ready"</formula>
    </cfRule>
    <cfRule type="cellIs" priority="2" operator="equal" dxfId="1">
      <formula>"Refresh"</formula>
    </cfRule>
    <cfRule type="cellIs" priority="3" operator="equal" dxfId="2">
      <formula>"Build"</formula>
    </cfRule>
  </conditionalFormatting>
  <dataValidations count="2">
    <dataValidation sqref="H4:H500" showDropDown="0" showInputMessage="0" showErrorMessage="0" allowBlank="0" type="list">
      <formula1>"Ready,Refresh,Build"</formula1>
    </dataValidation>
    <dataValidation sqref="L4:L500" showDropDown="0" showInputMessage="0" showErrorMessage="0" allowBlank="0" type="list">
      <formula1>"Keep,Change,Cut,Discuss"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35"/>
  <sheetViews>
    <sheetView workbookViewId="0">
      <pane ySplit="3" topLeftCell="A4" activePane="bottomLeft" state="frozen"/>
      <selection pane="bottomLeft" activeCell="A1" sqref="A1"/>
    </sheetView>
  </sheetViews>
  <sheetFormatPr baseColWidth="8" defaultRowHeight="15"/>
  <cols>
    <col width="9" customWidth="1" min="1" max="1"/>
    <col width="9" customWidth="1" min="2" max="2"/>
    <col width="50" customWidth="1" min="3" max="3"/>
    <col width="22" customWidth="1" min="4" max="4"/>
    <col width="7" customWidth="1" min="5" max="5"/>
    <col width="30" customWidth="1" min="6" max="6"/>
    <col width="14" customWidth="1" min="7" max="7"/>
    <col width="13" customWidth="1" min="8" max="8"/>
    <col width="13" customWidth="1" min="9" max="9"/>
    <col width="30" customWidth="1" min="10" max="10"/>
    <col width="70" customWidth="1" min="11" max="11"/>
  </cols>
  <sheetData>
    <row r="1">
      <c r="A1" s="2" t="inlineStr">
        <is>
          <t>P1 = needed for the next cohort (certifications, Day 60/90 stacks, Day 1 payments primer). Update Progress as content is built.</t>
        </is>
      </c>
    </row>
    <row r="3">
      <c r="A3" s="3" t="inlineStr">
        <is>
          <t>Priority</t>
        </is>
      </c>
      <c r="B3" s="3" t="inlineStr">
        <is>
          <t>Type</t>
        </is>
      </c>
      <c r="C3" s="3" t="inlineStr">
        <is>
          <t>Session</t>
        </is>
      </c>
      <c r="D3" s="3" t="inlineStr">
        <is>
          <t>Phase</t>
        </is>
      </c>
      <c r="E3" s="3" t="inlineStr">
        <is>
          <t>Week</t>
        </is>
      </c>
      <c r="F3" s="3" t="inlineStr">
        <is>
          <t>Proposed owner</t>
        </is>
      </c>
      <c r="G3" s="4" t="inlineStr">
        <is>
          <t>Owner agreed?</t>
        </is>
      </c>
      <c r="H3" s="3" t="inlineStr">
        <is>
          <t>Target date</t>
        </is>
      </c>
      <c r="I3" s="3" t="inlineStr">
        <is>
          <t>Progress</t>
        </is>
      </c>
      <c r="J3" s="3" t="inlineStr">
        <is>
          <t>Content link</t>
        </is>
      </c>
      <c r="K3" s="3" t="inlineStr">
        <is>
          <t>Brief</t>
        </is>
      </c>
    </row>
    <row r="4">
      <c r="A4" s="5" t="inlineStr">
        <is>
          <t>P1</t>
        </is>
      </c>
      <c r="B4" s="5" t="inlineStr">
        <is>
          <t>Build</t>
        </is>
      </c>
      <c r="C4" s="5" t="inlineStr">
        <is>
          <t>Payments at Checkout in 60 minutes</t>
        </is>
      </c>
      <c r="D4" s="5" t="inlineStr">
        <is>
          <t>Land (Days 1–14)</t>
        </is>
      </c>
      <c r="E4" s="5" t="n">
        <v>1</v>
      </c>
      <c r="F4" s="5" t="inlineStr">
        <is>
          <t>Enablement + Solutions Engineering</t>
        </is>
      </c>
      <c r="G4" s="11" t="inlineStr"/>
      <c r="H4" s="5" t="inlineStr"/>
      <c r="I4" s="5" t="inlineStr">
        <is>
          <t>Not started</t>
        </is>
      </c>
      <c r="J4" s="5" t="inlineStr"/>
      <c r="K4" s="5" t="inlineStr">
        <is>
          <t>A story-led primer: the life of a card transaction, where Checkout earns, and why merchants switch. It replaces the Day 2 deep dive into Payments Academy and gives context before the curriculum starts.</t>
        </is>
      </c>
    </row>
    <row r="5">
      <c r="A5" s="5" t="inlineStr">
        <is>
          <t>P1</t>
        </is>
      </c>
      <c r="B5" s="5" t="inlineStr">
        <is>
          <t>Build</t>
        </is>
      </c>
      <c r="C5" s="5" t="inlineStr">
        <is>
          <t>Explore Call Masterclass: running discovery the Checkout way</t>
        </is>
      </c>
      <c r="D5" s="5" t="inlineStr">
        <is>
          <t>Practice (Days 31–60)</t>
        </is>
      </c>
      <c r="E5" s="5" t="n">
        <v>9</v>
      </c>
      <c r="F5" s="5" t="inlineStr">
        <is>
          <t>Enablement + top AE</t>
        </is>
      </c>
      <c r="G5" s="11" t="inlineStr"/>
      <c r="H5" s="5" t="inlineStr"/>
      <c r="I5" s="5" t="inlineStr">
        <is>
          <t>Not started</t>
        </is>
      </c>
      <c r="J5" s="5" t="inlineStr"/>
      <c r="K5" s="5" t="inlineStr">
        <is>
          <t>Live, AE-specific application of RevWay 5–6: agenda, upfront contract, DEPTH funnel and summarise-to-commit.</t>
        </is>
      </c>
    </row>
    <row r="6">
      <c r="A6" s="5" t="inlineStr">
        <is>
          <t>P1</t>
        </is>
      </c>
      <c r="B6" s="5" t="inlineStr">
        <is>
          <t>Build</t>
        </is>
      </c>
      <c r="C6" s="5" t="inlineStr">
        <is>
          <t>Payments discovery question bank &amp; value hypothesis</t>
        </is>
      </c>
      <c r="D6" s="5" t="inlineStr">
        <is>
          <t>Practice (Days 31–60)</t>
        </is>
      </c>
      <c r="E6" s="5" t="n">
        <v>9</v>
      </c>
      <c r="F6" s="5" t="inlineStr">
        <is>
          <t>Enablement + Solutions Engineering</t>
        </is>
      </c>
      <c r="G6" s="11" t="inlineStr"/>
      <c r="H6" s="5" t="inlineStr"/>
      <c r="I6" s="5" t="inlineStr">
        <is>
          <t>Not started</t>
        </is>
      </c>
      <c r="J6" s="5" t="inlineStr"/>
      <c r="K6" s="5" t="inlineStr">
        <is>
          <t>Questions by persona and pillar, plus a one-page value-hypothesis template (auth uplift, fraud, cost, APM coverage, payouts).</t>
        </is>
      </c>
    </row>
    <row r="7">
      <c r="A7" s="5" t="inlineStr">
        <is>
          <t>P1</t>
        </is>
      </c>
      <c r="B7" s="5" t="inlineStr">
        <is>
          <t>Build</t>
        </is>
      </c>
      <c r="C7" s="5" t="inlineStr">
        <is>
          <t>★ Explore Call Certification</t>
        </is>
      </c>
      <c r="D7" s="5" t="inlineStr">
        <is>
          <t>Practice (Days 31–60)</t>
        </is>
      </c>
      <c r="E7" s="5" t="n">
        <v>9</v>
      </c>
      <c r="F7" s="5" t="inlineStr">
        <is>
          <t>Pod lead + Enablement</t>
        </is>
      </c>
      <c r="G7" s="11" t="inlineStr"/>
      <c r="H7" s="5" t="inlineStr"/>
      <c r="I7" s="5" t="inlineStr">
        <is>
          <t>Not started</t>
        </is>
      </c>
      <c r="J7" s="5" t="inlineStr"/>
      <c r="K7" s="5" t="inlineStr">
        <is>
          <t>See the certification rubric.</t>
        </is>
      </c>
    </row>
    <row r="8">
      <c r="A8" s="5" t="inlineStr">
        <is>
          <t>P1</t>
        </is>
      </c>
      <c r="B8" s="5" t="inlineStr">
        <is>
          <t>Build</t>
        </is>
      </c>
      <c r="C8" s="5" t="inlineStr">
        <is>
          <t>Day 60 review: pipeline, activity &amp; ramp check</t>
        </is>
      </c>
      <c r="D8" s="5" t="inlineStr">
        <is>
          <t>Practice (Days 31–60)</t>
        </is>
      </c>
      <c r="E8" s="5" t="n">
        <v>9</v>
      </c>
      <c r="F8" s="5" t="inlineStr">
        <is>
          <t>Line manager</t>
        </is>
      </c>
      <c r="G8" s="11" t="inlineStr"/>
      <c r="H8" s="5" t="inlineStr"/>
      <c r="I8" s="5" t="inlineStr">
        <is>
          <t>Not started</t>
        </is>
      </c>
      <c r="J8" s="5" t="inlineStr"/>
      <c r="K8" s="5" t="inlineStr">
        <is>
          <t>A structured 1:1 on pipeline created, meetings booked and cert results, with the next 30-day plan.</t>
        </is>
      </c>
    </row>
    <row r="9">
      <c r="A9" s="5" t="inlineStr">
        <is>
          <t>P1</t>
        </is>
      </c>
      <c r="B9" s="5" t="inlineStr">
        <is>
          <t>Build</t>
        </is>
      </c>
      <c r="C9" s="5" t="inlineStr">
        <is>
          <t>Storyline workshop: building a Checkout pitch deck</t>
        </is>
      </c>
      <c r="D9" s="5" t="inlineStr">
        <is>
          <t>Perform (Days 61–90)</t>
        </is>
      </c>
      <c r="E9" s="5" t="n">
        <v>13</v>
      </c>
      <c r="F9" s="5" t="inlineStr">
        <is>
          <t>Enablement + Product Marketing</t>
        </is>
      </c>
      <c r="G9" s="11" t="inlineStr"/>
      <c r="H9" s="5" t="inlineStr"/>
      <c r="I9" s="5" t="inlineStr">
        <is>
          <t>Not started</t>
        </is>
      </c>
      <c r="J9" s="5" t="inlineStr"/>
      <c r="K9" s="5" t="inlineStr">
        <is>
          <t>Insight → value → proof → plan, using the Great Decks library (GM, 1800 Contacts, Flutter RFP, Caesars).</t>
        </is>
      </c>
    </row>
    <row r="10">
      <c r="A10" s="5" t="inlineStr">
        <is>
          <t>P1</t>
        </is>
      </c>
      <c r="B10" s="5" t="inlineStr">
        <is>
          <t>Build</t>
        </is>
      </c>
      <c r="C10" s="5" t="inlineStr">
        <is>
          <t>Business case lab: quantify the value</t>
        </is>
      </c>
      <c r="D10" s="5" t="inlineStr">
        <is>
          <t>Perform (Days 61–90)</t>
        </is>
      </c>
      <c r="E10" s="5" t="n">
        <v>13</v>
      </c>
      <c r="F10" s="5" t="inlineStr">
        <is>
          <t>Solutions Engineering + Deal Management</t>
        </is>
      </c>
      <c r="G10" s="11" t="inlineStr"/>
      <c r="H10" s="5" t="inlineStr"/>
      <c r="I10" s="5" t="inlineStr">
        <is>
          <t>Not started</t>
        </is>
      </c>
      <c r="J10" s="5" t="inlineStr"/>
      <c r="K10" s="5" t="inlineStr">
        <is>
          <t>Turn the Day 60 value hypothesis into numbers using the pricing model and cost-analysis examples.</t>
        </is>
      </c>
    </row>
    <row r="11">
      <c r="A11" s="5" t="inlineStr">
        <is>
          <t>P1</t>
        </is>
      </c>
      <c r="B11" s="5" t="inlineStr">
        <is>
          <t>Build</t>
        </is>
      </c>
      <c r="C11" s="5" t="inlineStr">
        <is>
          <t>Deck peer review &amp; dry run</t>
        </is>
      </c>
      <c r="D11" s="5" t="inlineStr">
        <is>
          <t>Perform (Days 61–90)</t>
        </is>
      </c>
      <c r="E11" s="5" t="n">
        <v>13</v>
      </c>
      <c r="F11" s="5" t="inlineStr">
        <is>
          <t>Buddy + pod</t>
        </is>
      </c>
      <c r="G11" s="11" t="inlineStr"/>
      <c r="H11" s="5" t="inlineStr"/>
      <c r="I11" s="5" t="inlineStr">
        <is>
          <t>Not started</t>
        </is>
      </c>
      <c r="J11" s="5" t="inlineStr"/>
      <c r="K11" s="5" t="inlineStr"/>
    </row>
    <row r="12">
      <c r="A12" s="5" t="inlineStr">
        <is>
          <t>P1</t>
        </is>
      </c>
      <c r="B12" s="5" t="inlineStr">
        <is>
          <t>Build</t>
        </is>
      </c>
      <c r="C12" s="5" t="inlineStr">
        <is>
          <t>★ Pitch Deck Certification</t>
        </is>
      </c>
      <c r="D12" s="5" t="inlineStr">
        <is>
          <t>Perform (Days 61–90)</t>
        </is>
      </c>
      <c r="E12" s="5" t="n">
        <v>13</v>
      </c>
      <c r="F12" s="5" t="inlineStr">
        <is>
          <t>Panel: pod lead, SE, Enablement, guest leader</t>
        </is>
      </c>
      <c r="G12" s="11" t="inlineStr"/>
      <c r="H12" s="5" t="inlineStr"/>
      <c r="I12" s="5" t="inlineStr">
        <is>
          <t>Not started</t>
        </is>
      </c>
      <c r="J12" s="5" t="inlineStr"/>
      <c r="K12" s="5" t="inlineStr">
        <is>
          <t>See the certification rubric.</t>
        </is>
      </c>
    </row>
    <row r="13">
      <c r="A13" s="5" t="inlineStr">
        <is>
          <t>P1</t>
        </is>
      </c>
      <c r="B13" s="5" t="inlineStr">
        <is>
          <t>Build</t>
        </is>
      </c>
      <c r="C13" s="5" t="inlineStr">
        <is>
          <t>Day 90 review &amp; graduation to everboarding</t>
        </is>
      </c>
      <c r="D13" s="5" t="inlineStr">
        <is>
          <t>Perform (Days 61–90)</t>
        </is>
      </c>
      <c r="E13" s="5" t="n">
        <v>13</v>
      </c>
      <c r="F13" s="5" t="inlineStr">
        <is>
          <t>Line manager + Enablement</t>
        </is>
      </c>
      <c r="G13" s="11" t="inlineStr"/>
      <c r="H13" s="5" t="inlineStr"/>
      <c r="I13" s="5" t="inlineStr">
        <is>
          <t>Not started</t>
        </is>
      </c>
      <c r="J13" s="5" t="inlineStr"/>
      <c r="K13" s="5" t="inlineStr">
        <is>
          <t>Ramp review against quota trajectory, certifications logged, and an individual development plan for Days 91–180.</t>
        </is>
      </c>
    </row>
    <row r="14">
      <c r="A14" s="5" t="inlineStr">
        <is>
          <t>P1</t>
        </is>
      </c>
      <c r="B14" s="5" t="inlineStr">
        <is>
          <t>Build</t>
        </is>
      </c>
      <c r="C14" s="5" t="inlineStr">
        <is>
          <t>Yearly recertification: Explore &amp; Pitch</t>
        </is>
      </c>
      <c r="D14" s="5" t="inlineStr">
        <is>
          <t>Everboard (Day 90+)</t>
        </is>
      </c>
      <c r="E14" s="5" t="n">
        <v>14</v>
      </c>
      <c r="F14" s="5" t="inlineStr">
        <is>
          <t>Enablement</t>
        </is>
      </c>
      <c r="G14" s="11" t="inlineStr"/>
      <c r="H14" s="5" t="inlineStr"/>
      <c r="I14" s="5" t="inlineStr">
        <is>
          <t>Not started</t>
        </is>
      </c>
      <c r="J14" s="5" t="inlineStr"/>
      <c r="K14" s="5" t="inlineStr">
        <is>
          <t>Keeps the bar consistent for tenured AEs (charter pillar 1: recertification rate).</t>
        </is>
      </c>
    </row>
    <row r="15">
      <c r="A15" s="5" t="inlineStr">
        <is>
          <t>P1</t>
        </is>
      </c>
      <c r="B15" s="5" t="inlineStr">
        <is>
          <t>Refresh</t>
        </is>
      </c>
      <c r="C15" s="5" t="inlineStr">
        <is>
          <t>Day 30 Checkpoint: elevator pitch + five-pillar knowledge check</t>
        </is>
      </c>
      <c r="D15" s="5" t="inlineStr">
        <is>
          <t>Learn (Days 15–30)</t>
        </is>
      </c>
      <c r="E15" s="5" t="n">
        <v>4</v>
      </c>
      <c r="F15" s="5" t="inlineStr">
        <is>
          <t>Line manager + Enablement</t>
        </is>
      </c>
      <c r="G15" s="11" t="inlineStr"/>
      <c r="H15" s="5" t="inlineStr"/>
      <c r="I15" s="5" t="inlineStr">
        <is>
          <t>Not started</t>
        </is>
      </c>
      <c r="J15" s="5" t="inlineStr"/>
      <c r="K15" s="5" t="inlineStr">
        <is>
          <t>Combine today's elevator-pitch reviews and pillar Kahoots into one recorded gate.</t>
        </is>
      </c>
    </row>
    <row r="16">
      <c r="A16" s="5" t="inlineStr">
        <is>
          <t>P2</t>
        </is>
      </c>
      <c r="B16" s="5" t="inlineStr">
        <is>
          <t>Build</t>
        </is>
      </c>
      <c r="C16" s="5" t="inlineStr">
        <is>
          <t>Welcome pack, 90-day plan &amp; personal tracker issued</t>
        </is>
      </c>
      <c r="D16" s="5" t="inlineStr">
        <is>
          <t>Pre-board (Before Day 1)</t>
        </is>
      </c>
      <c r="E16" s="5" t="n">
        <v>0</v>
      </c>
      <c r="F16" s="5" t="inlineStr">
        <is>
          <t>Enablement</t>
        </is>
      </c>
      <c r="G16" s="11" t="inlineStr"/>
      <c r="H16" s="5" t="inlineStr"/>
      <c r="I16" s="5" t="inlineStr">
        <is>
          <t>Not started</t>
        </is>
      </c>
      <c r="J16" s="5" t="inlineStr"/>
      <c r="K16" s="5" t="inlineStr">
        <is>
          <t>Send the personal tracker (Karlie Chen format) and this 90-day map before Day 1 so the new hire arrives knowing the path.</t>
        </is>
      </c>
    </row>
    <row r="17">
      <c r="A17" s="5" t="inlineStr">
        <is>
          <t>P2</t>
        </is>
      </c>
      <c r="B17" s="5" t="inlineStr">
        <is>
          <t>Build</t>
        </is>
      </c>
      <c r="C17" s="5" t="inlineStr">
        <is>
          <t>Voice of the customer: Head of Payments panel</t>
        </is>
      </c>
      <c r="D17" s="5" t="inlineStr">
        <is>
          <t>Practice (Days 31–60)</t>
        </is>
      </c>
      <c r="E17" s="5" t="n">
        <v>7</v>
      </c>
      <c r="F17" s="5" t="inlineStr">
        <is>
          <t>Jaime Yeager / Jim Cho</t>
        </is>
      </c>
      <c r="G17" s="11" t="inlineStr"/>
      <c r="H17" s="5" t="inlineStr"/>
      <c r="I17" s="5" t="inlineStr">
        <is>
          <t>Not started</t>
        </is>
      </c>
      <c r="J17" s="5" t="inlineStr"/>
      <c r="K17" s="5" t="inlineStr">
        <is>
          <t>Planned in both SME trackers but never scheduled. Heads of Payments share what resonated in outreach and what didn't.</t>
        </is>
      </c>
    </row>
    <row r="18">
      <c r="A18" s="5" t="inlineStr">
        <is>
          <t>P2</t>
        </is>
      </c>
      <c r="B18" s="5" t="inlineStr">
        <is>
          <t>Build</t>
        </is>
      </c>
      <c r="C18" s="5" t="inlineStr">
        <is>
          <t>Top-rep Q&amp;A, every two weeks</t>
        </is>
      </c>
      <c r="D18" s="5" t="inlineStr">
        <is>
          <t>Practice (Days 31–60)</t>
        </is>
      </c>
      <c r="E18" s="5" t="n">
        <v>7</v>
      </c>
      <c r="F18" s="5" t="inlineStr">
        <is>
          <t>Sam Boukhiam / Louis Taupin</t>
        </is>
      </c>
      <c r="G18" s="11" t="inlineStr"/>
      <c r="H18" s="5" t="inlineStr"/>
      <c r="I18" s="5" t="inlineStr">
        <is>
          <t>Not started</t>
        </is>
      </c>
      <c r="J18" s="5" t="inlineStr"/>
      <c r="K18" s="5" t="inlineStr">
        <is>
          <t>Planned to 'start in Month 2' but never started. Sam's notes in the Q4 plan are the starting agenda.</t>
        </is>
      </c>
    </row>
    <row r="19">
      <c r="A19" s="5" t="inlineStr">
        <is>
          <t>P2</t>
        </is>
      </c>
      <c r="B19" s="5" t="inlineStr">
        <is>
          <t>Build</t>
        </is>
      </c>
      <c r="C19" s="5" t="inlineStr">
        <is>
          <t>Payment performance metrics that matter (auth rates, declines, tokens, cost)</t>
        </is>
      </c>
      <c r="D19" s="5" t="inlineStr">
        <is>
          <t>Practice (Days 31–60)</t>
        </is>
      </c>
      <c r="E19" s="5" t="n">
        <v>8</v>
      </c>
      <c r="F19" s="5" t="inlineStr">
        <is>
          <t>Solutions Engineering + Product</t>
        </is>
      </c>
      <c r="G19" s="11" t="inlineStr"/>
      <c r="H19" s="5" t="inlineStr"/>
      <c r="I19" s="5" t="inlineStr">
        <is>
          <t>Not started</t>
        </is>
      </c>
      <c r="J19" s="5" t="inlineStr"/>
      <c r="K19" s="5" t="inlineStr">
        <is>
          <t>The numbers an AE has to quantify in discovery. Builds on the Decline Code and PPA cheat sheets.</t>
        </is>
      </c>
    </row>
    <row r="20">
      <c r="A20" s="5" t="inlineStr">
        <is>
          <t>P2</t>
        </is>
      </c>
      <c r="B20" s="5" t="inlineStr">
        <is>
          <t>Build</t>
        </is>
      </c>
      <c r="C20" s="5" t="inlineStr">
        <is>
          <t>Pricing guidance &amp; take rate</t>
        </is>
      </c>
      <c r="D20" s="5" t="inlineStr">
        <is>
          <t>Perform (Days 61–90)</t>
        </is>
      </c>
      <c r="E20" s="5" t="n">
        <v>10</v>
      </c>
      <c r="F20" s="5" t="inlineStr">
        <is>
          <t>Jim Cho + Francesco Falcone</t>
        </is>
      </c>
      <c r="G20" s="11" t="inlineStr"/>
      <c r="H20" s="5" t="inlineStr"/>
      <c r="I20" s="5" t="inlineStr">
        <is>
          <t>Not started</t>
        </is>
      </c>
      <c r="J20" s="5" t="inlineStr"/>
      <c r="K20" s="5" t="inlineStr">
        <is>
          <t>Listed in the Q3 SME tracker but never scheduled. Covers guardrails, approvals and how to talk about price.</t>
        </is>
      </c>
    </row>
    <row r="21">
      <c r="A21" s="5" t="inlineStr">
        <is>
          <t>P2</t>
        </is>
      </c>
      <c r="B21" s="5" t="inlineStr">
        <is>
          <t>Build</t>
        </is>
      </c>
      <c r="C21" s="5" t="inlineStr">
        <is>
          <t>Payments economics: interchange++, fee &amp; cost analysis</t>
        </is>
      </c>
      <c r="D21" s="5" t="inlineStr">
        <is>
          <t>Perform (Days 61–90)</t>
        </is>
      </c>
      <c r="E21" s="5" t="n">
        <v>11</v>
      </c>
      <c r="F21" s="5" t="inlineStr">
        <is>
          <t>Deal Management + Solutions Engineering</t>
        </is>
      </c>
      <c r="G21" s="11" t="inlineStr"/>
      <c r="H21" s="5" t="inlineStr"/>
      <c r="I21" s="5" t="inlineStr">
        <is>
          <t>Not started</t>
        </is>
      </c>
      <c r="J21" s="5" t="inlineStr"/>
      <c r="K21" s="5" t="inlineStr">
        <is>
          <t>The resources exist (Gopuff and Rhino + Jetty cost analyses, L2/L3 interchange) and are tagged 'cover later', but there's no session.</t>
        </is>
      </c>
    </row>
    <row r="22">
      <c r="A22" s="5" t="inlineStr">
        <is>
          <t>P2</t>
        </is>
      </c>
      <c r="B22" s="5" t="inlineStr">
        <is>
          <t>Build</t>
        </is>
      </c>
      <c r="C22" s="5" t="inlineStr">
        <is>
          <t>Trade, deal structure &amp; negotiation case studies</t>
        </is>
      </c>
      <c r="D22" s="5" t="inlineStr">
        <is>
          <t>Perform (Days 61–90)</t>
        </is>
      </c>
      <c r="E22" s="5" t="n">
        <v>11</v>
      </c>
      <c r="F22" s="5" t="inlineStr">
        <is>
          <t>Pod lead (TBD)</t>
        </is>
      </c>
      <c r="G22" s="11" t="inlineStr"/>
      <c r="H22" s="5" t="inlineStr"/>
      <c r="I22" s="5" t="inlineStr">
        <is>
          <t>Not started</t>
        </is>
      </c>
      <c r="J22" s="5" t="inlineStr"/>
      <c r="K22" s="5" t="inlineStr">
        <is>
          <t>Negotiation, getting pricing approved, and minimum billing. The owner is still TBD in the SME tracker.</t>
        </is>
      </c>
    </row>
    <row r="23">
      <c r="A23" s="5" t="inlineStr">
        <is>
          <t>P2</t>
        </is>
      </c>
      <c r="B23" s="5" t="inlineStr">
        <is>
          <t>Refresh</t>
        </is>
      </c>
      <c r="C23" s="5" t="inlineStr">
        <is>
          <t>Tool access pre-provisioned (Salesforce, Clari, Apollo, LinkedIn Sales Nav, Highspot, Glean)</t>
        </is>
      </c>
      <c r="D23" s="5" t="inlineStr">
        <is>
          <t>Pre-board (Before Day 1)</t>
        </is>
      </c>
      <c r="E23" s="5" t="n">
        <v>0</v>
      </c>
      <c r="F23" s="5" t="inlineStr">
        <is>
          <t>Enablement + IT</t>
        </is>
      </c>
      <c r="G23" s="11" t="inlineStr"/>
      <c r="H23" s="5" t="inlineStr"/>
      <c r="I23" s="5" t="inlineStr">
        <is>
          <t>Not started</t>
        </is>
      </c>
      <c r="J23" s="5" t="inlineStr"/>
      <c r="K23" s="5" t="inlineStr">
        <is>
          <t>Today this takes a Day 1 session. Request access at offer-accept so Day 1 can go to people and context.</t>
        </is>
      </c>
    </row>
    <row r="24">
      <c r="A24" s="5" t="inlineStr">
        <is>
          <t>P2</t>
        </is>
      </c>
      <c r="B24" s="5" t="inlineStr">
        <is>
          <t>Refresh</t>
        </is>
      </c>
      <c r="C24" s="5" t="inlineStr">
        <is>
          <t>Buddy assigned + manager welcome call</t>
        </is>
      </c>
      <c r="D24" s="5" t="inlineStr">
        <is>
          <t>Pre-board (Before Day 1)</t>
        </is>
      </c>
      <c r="E24" s="5" t="n">
        <v>0</v>
      </c>
      <c r="F24" s="5" t="inlineStr">
        <is>
          <t>Line manager</t>
        </is>
      </c>
      <c r="G24" s="11" t="inlineStr"/>
      <c r="H24" s="5" t="inlineStr"/>
      <c r="I24" s="5" t="inlineStr">
        <is>
          <t>Not started</t>
        </is>
      </c>
      <c r="J24" s="5" t="inlineStr"/>
      <c r="K24" s="5" t="inlineStr">
        <is>
          <t>Buddies are used informally (elevator pitch, role plays). Formalise it with a one-page buddy guide and a weekly 30-minute slot.</t>
        </is>
      </c>
    </row>
    <row r="25">
      <c r="A25" s="5" t="inlineStr">
        <is>
          <t>P2</t>
        </is>
      </c>
      <c r="B25" s="5" t="inlineStr">
        <is>
          <t>Refresh</t>
        </is>
      </c>
      <c r="C25" s="5" t="inlineStr">
        <is>
          <t>Finding answers: Highspot, Confluence &amp; Glean</t>
        </is>
      </c>
      <c r="D25" s="5" t="inlineStr">
        <is>
          <t>Land (Days 1–14)</t>
        </is>
      </c>
      <c r="E25" s="5" t="n">
        <v>1</v>
      </c>
      <c r="F25" s="5" t="inlineStr">
        <is>
          <t>Enablement</t>
        </is>
      </c>
      <c r="G25" s="11" t="inlineStr"/>
      <c r="H25" s="5" t="inlineStr"/>
      <c r="I25" s="5" t="inlineStr">
        <is>
          <t>Not started</t>
        </is>
      </c>
      <c r="J25" s="5" t="inlineStr"/>
      <c r="K25" s="5" t="inlineStr">
        <is>
          <t>Update for the Highspot→Drive transition and Glean adoption (charter priority 3).</t>
        </is>
      </c>
    </row>
    <row r="26">
      <c r="A26" s="5" t="inlineStr">
        <is>
          <t>P2</t>
        </is>
      </c>
      <c r="B26" s="5" t="inlineStr">
        <is>
          <t>Refresh</t>
        </is>
      </c>
      <c r="C26" s="5" t="inlineStr">
        <is>
          <t>Payments Academy: Foundations modules 1–5</t>
        </is>
      </c>
      <c r="D26" s="5" t="inlineStr">
        <is>
          <t>Land (Days 1–14)</t>
        </is>
      </c>
      <c r="E26" s="5" t="n">
        <v>2</v>
      </c>
      <c r="F26" s="5" t="inlineStr">
        <is>
          <t>Self-directed</t>
        </is>
      </c>
      <c r="G26" s="11" t="inlineStr"/>
      <c r="H26" s="5" t="inlineStr"/>
      <c r="I26" s="5" t="inlineStr">
        <is>
          <t>Not started</t>
        </is>
      </c>
      <c r="J26" s="5" t="inlineStr"/>
      <c r="K26" s="5" t="inlineStr">
        <is>
          <t>Moved from Day 2 to Week 2 and paced at about 30 minutes a day, after the 60-minute primer, with a Friday live debrief.</t>
        </is>
      </c>
    </row>
    <row r="27">
      <c r="A27" s="5" t="inlineStr">
        <is>
          <t>P2</t>
        </is>
      </c>
      <c r="B27" s="5" t="inlineStr">
        <is>
          <t>Refresh</t>
        </is>
      </c>
      <c r="C27" s="5" t="inlineStr">
        <is>
          <t>Payments Academy: Foundations 6–10 + live debrief</t>
        </is>
      </c>
      <c r="D27" s="5" t="inlineStr">
        <is>
          <t>Learn (Days 15–30)</t>
        </is>
      </c>
      <c r="E27" s="5" t="n">
        <v>3</v>
      </c>
      <c r="F27" s="5" t="inlineStr">
        <is>
          <t>Enablement</t>
        </is>
      </c>
      <c r="G27" s="11" t="inlineStr"/>
      <c r="H27" s="5" t="inlineStr"/>
      <c r="I27" s="5" t="inlineStr">
        <is>
          <t>Not started</t>
        </is>
      </c>
      <c r="J27" s="5" t="inlineStr"/>
      <c r="K27" s="5" t="inlineStr">
        <is>
          <t>Finish the Foundations here, not in Week 1. The debrief turns the modules into talk-tracks.</t>
        </is>
      </c>
    </row>
    <row r="28">
      <c r="A28" s="5" t="inlineStr">
        <is>
          <t>P2</t>
        </is>
      </c>
      <c r="B28" s="5" t="inlineStr">
        <is>
          <t>Refresh</t>
        </is>
      </c>
      <c r="C28" s="5" t="inlineStr">
        <is>
          <t>Pillars in live deals: Connect &amp; Move (30 min each)</t>
        </is>
      </c>
      <c r="D28" s="5" t="inlineStr">
        <is>
          <t>Learn (Days 15–30)</t>
        </is>
      </c>
      <c r="E28" s="5" t="n">
        <v>3</v>
      </c>
      <c r="F28" s="5" t="inlineStr">
        <is>
          <t>Pod leads</t>
        </is>
      </c>
      <c r="G28" s="11" t="inlineStr"/>
      <c r="H28" s="5" t="inlineStr"/>
      <c r="I28" s="5" t="inlineStr">
        <is>
          <t>Not started</t>
        </is>
      </c>
      <c r="J28" s="5" t="inlineStr"/>
      <c r="K28" s="5" t="inlineStr">
        <is>
          <t>Replace the generic 'sales perspective' sessions with 30-minute walk-throughs of live deals, built on a vertical use case (Francesco's feedback).</t>
        </is>
      </c>
    </row>
    <row r="29">
      <c r="A29" s="5" t="inlineStr">
        <is>
          <t>P2</t>
        </is>
      </c>
      <c r="B29" s="5" t="inlineStr">
        <is>
          <t>Refresh</t>
        </is>
      </c>
      <c r="C29" s="5" t="inlineStr">
        <is>
          <t>Pillars in live deals: Protect, Boost &amp; Manage</t>
        </is>
      </c>
      <c r="D29" s="5" t="inlineStr">
        <is>
          <t>Learn (Days 15–30)</t>
        </is>
      </c>
      <c r="E29" s="5" t="n">
        <v>4</v>
      </c>
      <c r="F29" s="5" t="inlineStr">
        <is>
          <t>Pod leads</t>
        </is>
      </c>
      <c r="G29" s="11" t="inlineStr"/>
      <c r="H29" s="5" t="inlineStr"/>
      <c r="I29" s="5" t="inlineStr">
        <is>
          <t>Not started</t>
        </is>
      </c>
      <c r="J29" s="5" t="inlineStr"/>
      <c r="K29" s="5" t="inlineStr">
        <is>
          <t>Same 30-minute live-deal format as Week 3.</t>
        </is>
      </c>
    </row>
    <row r="30">
      <c r="A30" s="5" t="inlineStr">
        <is>
          <t>P2</t>
        </is>
      </c>
      <c r="B30" s="5" t="inlineStr">
        <is>
          <t>Refresh</t>
        </is>
      </c>
      <c r="C30" s="5" t="inlineStr">
        <is>
          <t>Visa Direct: AFTs &amp; card payouts</t>
        </is>
      </c>
      <c r="D30" s="5" t="inlineStr">
        <is>
          <t>Practice (Days 31–60)</t>
        </is>
      </c>
      <c r="E30" s="5" t="n">
        <v>6</v>
      </c>
      <c r="F30" s="5" t="inlineStr">
        <is>
          <t>Amber McClure</t>
        </is>
      </c>
      <c r="G30" s="11" t="inlineStr"/>
      <c r="H30" s="5" t="inlineStr"/>
      <c r="I30" s="5" t="inlineStr">
        <is>
          <t>Not started</t>
        </is>
      </c>
      <c r="J30" s="5" t="inlineStr"/>
      <c r="K30" s="5" t="inlineStr">
        <is>
          <t>Paused while partnership terms are revamped. Bring it back when the new terms are ready.</t>
        </is>
      </c>
    </row>
    <row r="31">
      <c r="A31" s="5" t="inlineStr">
        <is>
          <t>P2</t>
        </is>
      </c>
      <c r="B31" s="5" t="inlineStr">
        <is>
          <t>Refresh</t>
        </is>
      </c>
      <c r="C31" s="5" t="inlineStr">
        <is>
          <t>Vertical deep dives: Insurance and Gaming &amp; Gambling</t>
        </is>
      </c>
      <c r="D31" s="5" t="inlineStr">
        <is>
          <t>Practice (Days 31–60)</t>
        </is>
      </c>
      <c r="E31" s="5" t="n">
        <v>7</v>
      </c>
      <c r="F31" s="5" t="inlineStr">
        <is>
          <t>Olivia Smith / Aaron Popack</t>
        </is>
      </c>
      <c r="G31" s="11" t="inlineStr"/>
      <c r="H31" s="5" t="inlineStr"/>
      <c r="I31" s="5" t="inlineStr">
        <is>
          <t>Not started</t>
        </is>
      </c>
      <c r="J31" s="5" t="inlineStr"/>
      <c r="K31" s="5" t="inlineStr">
        <is>
          <t>Both on hold ('wait for now'). Run Insurance virtually first.</t>
        </is>
      </c>
    </row>
    <row r="32">
      <c r="A32" s="5" t="inlineStr">
        <is>
          <t>P2</t>
        </is>
      </c>
      <c r="B32" s="5" t="inlineStr">
        <is>
          <t>Refresh</t>
        </is>
      </c>
      <c r="C32" s="5" t="inlineStr">
        <is>
          <t>Competitive deal clinic + refreshed battlecards</t>
        </is>
      </c>
      <c r="D32" s="5" t="inlineStr">
        <is>
          <t>Practice (Days 31–60)</t>
        </is>
      </c>
      <c r="E32" s="5" t="n">
        <v>8</v>
      </c>
      <c r="F32" s="5" t="inlineStr">
        <is>
          <t>Jim Cho</t>
        </is>
      </c>
      <c r="G32" s="11" t="inlineStr"/>
      <c r="H32" s="5" t="inlineStr"/>
      <c r="I32" s="5" t="inlineStr">
        <is>
          <t>Not started</t>
        </is>
      </c>
      <c r="J32" s="5" t="inlineStr"/>
      <c r="K32" s="5" t="inlineStr">
        <is>
          <t>The 'Why Checkout Wins' battlecard is flagged as outdated. Release refreshed battlecards with this session.</t>
        </is>
      </c>
    </row>
    <row r="33">
      <c r="A33" s="5" t="inlineStr">
        <is>
          <t>P2</t>
        </is>
      </c>
      <c r="B33" s="5" t="inlineStr">
        <is>
          <t>Refresh</t>
        </is>
      </c>
      <c r="C33" s="5" t="inlineStr">
        <is>
          <t>Explore call gametapes: what great sounds like</t>
        </is>
      </c>
      <c r="D33" s="5" t="inlineStr">
        <is>
          <t>Practice (Days 31–60)</t>
        </is>
      </c>
      <c r="E33" s="5" t="n">
        <v>8</v>
      </c>
      <c r="F33" s="5" t="inlineStr">
        <is>
          <t>Jim Cho + Francesco Falcone</t>
        </is>
      </c>
      <c r="G33" s="11" t="inlineStr"/>
      <c r="H33" s="5" t="inlineStr"/>
      <c r="I33" s="5" t="inlineStr">
        <is>
          <t>Not started</t>
        </is>
      </c>
      <c r="J33" s="5" t="inlineStr"/>
      <c r="K33" s="5" t="inlineStr">
        <is>
          <t>Curate an Explore-only playlist in the Clari USA call repo, with timestamps to listen for.</t>
        </is>
      </c>
    </row>
    <row r="34">
      <c r="A34" s="5" t="inlineStr">
        <is>
          <t>P2</t>
        </is>
      </c>
      <c r="B34" s="5" t="inlineStr">
        <is>
          <t>Refresh</t>
        </is>
      </c>
      <c r="C34" s="5" t="inlineStr">
        <is>
          <t>Objection handling drill + RevWay 10</t>
        </is>
      </c>
      <c r="D34" s="5" t="inlineStr">
        <is>
          <t>Perform (Days 61–90)</t>
        </is>
      </c>
      <c r="E34" s="5" t="n">
        <v>11</v>
      </c>
      <c r="F34" s="5" t="inlineStr">
        <is>
          <t>Enablement</t>
        </is>
      </c>
      <c r="G34" s="11" t="inlineStr"/>
      <c r="H34" s="5" t="inlineStr"/>
      <c r="I34" s="5" t="inlineStr">
        <is>
          <t>Not started</t>
        </is>
      </c>
      <c r="J34" s="5" t="inlineStr"/>
      <c r="K34" s="5" t="inlineStr">
        <is>
          <t>Self-paced only today. Add a live drill that uses the competitive defense playbook.</t>
        </is>
      </c>
    </row>
    <row r="35">
      <c r="A35" s="5" t="inlineStr">
        <is>
          <t>P2</t>
        </is>
      </c>
      <c r="B35" s="5" t="inlineStr">
        <is>
          <t>Refresh</t>
        </is>
      </c>
      <c r="C35" s="5" t="inlineStr">
        <is>
          <t>MBO, quota mechanics &amp; your path to quota</t>
        </is>
      </c>
      <c r="D35" s="5" t="inlineStr">
        <is>
          <t>Perform (Days 61–90)</t>
        </is>
      </c>
      <c r="E35" s="5" t="n">
        <v>12</v>
      </c>
      <c r="F35" s="5" t="inlineStr">
        <is>
          <t>Francesco Falcone + Jim Cho</t>
        </is>
      </c>
      <c r="G35" s="11" t="inlineStr"/>
      <c r="H35" s="5" t="inlineStr"/>
      <c r="I35" s="5" t="inlineStr">
        <is>
          <t>Not started</t>
        </is>
      </c>
      <c r="J35" s="5" t="inlineStr"/>
      <c r="K35" s="5" t="inlineStr">
        <is>
          <t>Reschedule to 60 minutes with Jim, and invite newer hires.</t>
        </is>
      </c>
    </row>
  </sheetData>
  <autoFilter ref="A3:K35"/>
  <conditionalFormatting sqref="B4:B500">
    <cfRule type="cellIs" priority="1" operator="equal" dxfId="0">
      <formula>"Ready"</formula>
    </cfRule>
    <cfRule type="cellIs" priority="2" operator="equal" dxfId="1">
      <formula>"Refresh"</formula>
    </cfRule>
    <cfRule type="cellIs" priority="3" operator="equal" dxfId="2">
      <formula>"Build"</formula>
    </cfRule>
  </conditionalFormatting>
  <conditionalFormatting sqref="I4:I500">
    <cfRule type="cellIs" priority="4" operator="equal" dxfId="0">
      <formula>"Done"</formula>
    </cfRule>
  </conditionalFormatting>
  <dataValidations count="2">
    <dataValidation sqref="I4:I500" showDropDown="0" showInputMessage="0" showErrorMessage="0" allowBlank="0" type="list">
      <formula1>"Not started,In design,In review,Pilot,Done"</formula1>
    </dataValidation>
    <dataValidation sqref="G4:G500" showDropDown="0" showInputMessage="0" showErrorMessage="0" allowBlank="0" type="list">
      <formula1>"Yes,No - suggest other,TBD"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32" customWidth="1" min="1" max="1"/>
    <col width="60" customWidth="1" min="2" max="2"/>
    <col width="12" customWidth="1" min="3" max="3"/>
    <col width="50" customWidth="1" min="4" max="4"/>
  </cols>
  <sheetData>
    <row r="1">
      <c r="A1" s="1" t="inlineStr">
        <is>
          <t>Explore Call Certification</t>
        </is>
      </c>
    </row>
    <row r="2">
      <c r="A2" s="8" t="inlineStr">
        <is>
          <t>When</t>
        </is>
      </c>
      <c r="B2" s="10" t="inlineStr">
        <is>
          <t>Day 60 (Week 9)</t>
        </is>
      </c>
    </row>
    <row r="3">
      <c r="A3" s="8" t="inlineStr">
        <is>
          <t>Format</t>
        </is>
      </c>
      <c r="B3" s="10" t="inlineStr">
        <is>
          <t>A 30-minute live, simulated Explore call. The assessor plays a scripted payments persona (e.g. Head of Payments at a mid-market subscription merchant). Recorded in Clari.</t>
        </is>
      </c>
    </row>
    <row r="4">
      <c r="A4" s="8" t="inlineStr">
        <is>
          <t>Assessors</t>
        </is>
      </c>
      <c r="B4" s="10" t="inlineStr">
        <is>
          <t>Pod lead + Enablement (calibrated on the same rubric)</t>
        </is>
      </c>
    </row>
    <row r="5">
      <c r="A5" s="8" t="inlineStr">
        <is>
          <t>Pass mark</t>
        </is>
      </c>
      <c r="B5" s="10" t="inlineStr">
        <is>
          <t>≥ 80% overall (28/35) and no section below 3/5. One retake within 10 working days, with coaching.</t>
        </is>
      </c>
    </row>
    <row r="7">
      <c r="A7" s="8" t="inlineStr">
        <is>
          <t>AE name</t>
        </is>
      </c>
    </row>
    <row r="8">
      <c r="A8" s="8" t="inlineStr">
        <is>
          <t>Assessor</t>
        </is>
      </c>
    </row>
    <row r="9">
      <c r="A9" s="8" t="inlineStr">
        <is>
          <t>Date</t>
        </is>
      </c>
    </row>
    <row r="11">
      <c r="A11" s="9" t="inlineStr">
        <is>
          <t>Section</t>
        </is>
      </c>
      <c r="B11" s="9" t="inlineStr">
        <is>
          <t>What good looks like</t>
        </is>
      </c>
      <c r="C11" s="9" t="inlineStr">
        <is>
          <t>Score (1–5)</t>
        </is>
      </c>
      <c r="D11" s="9" t="inlineStr">
        <is>
          <t>Evidence / coaching notes</t>
        </is>
      </c>
    </row>
    <row r="12">
      <c r="A12" s="10" t="inlineStr">
        <is>
          <t>Pre-call research &amp; hypothesis</t>
        </is>
      </c>
      <c r="B12" s="10" t="inlineStr">
        <is>
          <t>Knows the merchant's model, footprint, likely PSP set-up and a starting hypothesis</t>
        </is>
      </c>
    </row>
    <row r="13">
      <c r="A13" s="10" t="inlineStr">
        <is>
          <t>Opening &amp; upfront contract</t>
        </is>
      </c>
      <c r="B13" s="10" t="inlineStr">
        <is>
          <t>Clear agenda, time check and agreed outcome for the call</t>
        </is>
      </c>
    </row>
    <row r="14">
      <c r="A14" s="10" t="inlineStr">
        <is>
          <t>DEPTH questioning funnel</t>
        </is>
      </c>
      <c r="B14" s="10" t="inlineStr">
        <is>
          <t>Moves from broad to specific, with open questions and no early pitching</t>
        </is>
      </c>
    </row>
    <row r="15">
      <c r="A15" s="10" t="inlineStr">
        <is>
          <t>Payments pain quantified</t>
        </is>
      </c>
      <c r="B15" s="10" t="inlineStr">
        <is>
          <t>Uncovers and sizes at least one pain: auth rate, fraud, cost, APMs or payouts</t>
        </is>
      </c>
    </row>
    <row r="16">
      <c r="A16" s="10" t="inlineStr">
        <is>
          <t>Pillar mapping</t>
        </is>
      </c>
      <c r="B16" s="10" t="inlineStr">
        <is>
          <t>Links the pains to the right Checkout pillar and capability</t>
        </is>
      </c>
    </row>
    <row r="17">
      <c r="A17" s="10" t="inlineStr">
        <is>
          <t>Listening &amp; summarising</t>
        </is>
      </c>
      <c r="B17" s="10" t="inlineStr">
        <is>
          <t>Listens far more than talks, and plays the summary back accurately</t>
        </is>
      </c>
    </row>
    <row r="18">
      <c r="A18" s="10" t="inlineStr">
        <is>
          <t>Committed next step</t>
        </is>
      </c>
      <c r="B18" s="10" t="inlineStr">
        <is>
          <t>A dated next step with the right stakeholders</t>
        </is>
      </c>
    </row>
    <row r="20">
      <c r="A20" s="8" t="inlineStr">
        <is>
          <t>Total</t>
        </is>
      </c>
      <c r="C20">
        <f>SUM(C12:C18)</f>
        <v/>
      </c>
      <c r="D20" t="inlineStr">
        <is>
          <t>out of 35</t>
        </is>
      </c>
    </row>
    <row r="21">
      <c r="A21" s="8" t="inlineStr">
        <is>
          <t>Result</t>
        </is>
      </c>
      <c r="C21">
        <f>IF(COUNT(C12:C18)&lt;7,"Incomplete",IF(AND(SUM(C12:C18)&gt;=35*0.8,MIN(C12:C18)&gt;=3),"PASS","RETAKE"))</f>
        <v/>
      </c>
    </row>
  </sheetData>
  <conditionalFormatting sqref="C21">
    <cfRule type="cellIs" priority="1" operator="equal" dxfId="0">
      <formula>"PASS"</formula>
    </cfRule>
    <cfRule type="cellIs" priority="2" operator="equal" dxfId="2">
      <formula>"RETAKE"</formula>
    </cfRule>
  </conditionalFormatting>
  <dataValidations count="1">
    <dataValidation sqref="C12:C18" showDropDown="0" showInputMessage="0" showErrorMessage="0" allowBlank="0" type="whole" operator="between">
      <formula1>1</formula1>
      <formula2>5</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32" customWidth="1" min="1" max="1"/>
    <col width="60" customWidth="1" min="2" max="2"/>
    <col width="12" customWidth="1" min="3" max="3"/>
    <col width="50" customWidth="1" min="4" max="4"/>
  </cols>
  <sheetData>
    <row r="1">
      <c r="A1" s="1" t="inlineStr">
        <is>
          <t>Pitch Deck Certification</t>
        </is>
      </c>
    </row>
    <row r="2">
      <c r="A2" s="8" t="inlineStr">
        <is>
          <t>When</t>
        </is>
      </c>
      <c r="B2" s="10" t="inlineStr">
        <is>
          <t>Day 90 (Week 13)</t>
        </is>
      </c>
    </row>
    <row r="3">
      <c r="A3" s="8" t="inlineStr">
        <is>
          <t>Format</t>
        </is>
      </c>
      <c r="B3" s="10" t="inlineStr">
        <is>
          <t>A tailored deck for a real territory account: a 20-minute presentation plus 10 minutes of panel Q&amp;A, with the panel playing the buying committee.</t>
        </is>
      </c>
    </row>
    <row r="4">
      <c r="A4" s="8" t="inlineStr">
        <is>
          <t>Assessors</t>
        </is>
      </c>
      <c r="B4" s="10" t="inlineStr">
        <is>
          <t>Pod lead, Solutions Engineer, Enablement, plus a guest leader</t>
        </is>
      </c>
    </row>
    <row r="5">
      <c r="A5" s="8" t="inlineStr">
        <is>
          <t>Pass mark</t>
        </is>
      </c>
      <c r="B5" s="10" t="inlineStr">
        <is>
          <t>≥ 80% overall (32/40) and no section below 3/5. Exemplary decks go into the Great Decks library.</t>
        </is>
      </c>
    </row>
    <row r="7">
      <c r="A7" s="8" t="inlineStr">
        <is>
          <t>AE name</t>
        </is>
      </c>
    </row>
    <row r="8">
      <c r="A8" s="8" t="inlineStr">
        <is>
          <t>Assessor</t>
        </is>
      </c>
    </row>
    <row r="9">
      <c r="A9" s="8" t="inlineStr">
        <is>
          <t>Date</t>
        </is>
      </c>
    </row>
    <row r="11">
      <c r="A11" s="9" t="inlineStr">
        <is>
          <t>Section</t>
        </is>
      </c>
      <c r="B11" s="9" t="inlineStr">
        <is>
          <t>What good looks like</t>
        </is>
      </c>
      <c r="C11" s="9" t="inlineStr">
        <is>
          <t>Score (1–5)</t>
        </is>
      </c>
      <c r="D11" s="9" t="inlineStr">
        <is>
          <t>Evidence / coaching notes</t>
        </is>
      </c>
    </row>
    <row r="12">
      <c r="A12" s="10" t="inlineStr">
        <is>
          <t>Merchant insight</t>
        </is>
      </c>
      <c r="B12" s="10" t="inlineStr">
        <is>
          <t>Opens with the merchant's world and priorities, not ours</t>
        </is>
      </c>
    </row>
    <row r="13">
      <c r="A13" s="10" t="inlineStr">
        <is>
          <t>Value narrative</t>
        </is>
      </c>
      <c r="B13" s="10" t="inlineStr">
        <is>
          <t>Story connects their goals to Checkout pillars with clear outcomes</t>
        </is>
      </c>
    </row>
    <row r="14">
      <c r="A14" s="10" t="inlineStr">
        <is>
          <t>Business case</t>
        </is>
      </c>
      <c r="B14" s="10" t="inlineStr">
        <is>
          <t>Quantified value (auth uplift, cost, fraud, ops) using their data</t>
        </is>
      </c>
    </row>
    <row r="15">
      <c r="A15" s="10" t="inlineStr">
        <is>
          <t>Proof</t>
        </is>
      </c>
      <c r="B15" s="10" t="inlineStr">
        <is>
          <t>Relevant case studies, references or NPS evidence for the vertical</t>
        </is>
      </c>
    </row>
    <row r="16">
      <c r="A16" s="10" t="inlineStr">
        <is>
          <t>Competitive differentiation</t>
        </is>
      </c>
      <c r="B16" s="10" t="inlineStr">
        <is>
          <t>Positions against the incumbent without disparaging them</t>
        </is>
      </c>
    </row>
    <row r="17">
      <c r="A17" s="10" t="inlineStr">
        <is>
          <t>Pricing narrative</t>
        </is>
      </c>
      <c r="B17" s="10" t="inlineStr">
        <is>
          <t>Commercials framed within guidance, linked to value</t>
        </is>
      </c>
    </row>
    <row r="18">
      <c r="A18" s="10" t="inlineStr">
        <is>
          <t>Mutual action plan</t>
        </is>
      </c>
      <c r="B18" s="10" t="inlineStr">
        <is>
          <t>Clear path to signature, integration and go-live</t>
        </is>
      </c>
    </row>
    <row r="19">
      <c r="A19" s="10" t="inlineStr">
        <is>
          <t>Executive presence &amp; Q&amp;A</t>
        </is>
      </c>
      <c r="B19" s="10" t="inlineStr">
        <is>
          <t>Confident, concise, handles objections calmly</t>
        </is>
      </c>
    </row>
    <row r="21">
      <c r="A21" s="8" t="inlineStr">
        <is>
          <t>Total</t>
        </is>
      </c>
      <c r="C21">
        <f>SUM(C12:C19)</f>
        <v/>
      </c>
      <c r="D21" t="inlineStr">
        <is>
          <t>out of 40</t>
        </is>
      </c>
    </row>
    <row r="22">
      <c r="A22" s="8" t="inlineStr">
        <is>
          <t>Result</t>
        </is>
      </c>
      <c r="C22">
        <f>IF(COUNT(C12:C19)&lt;8,"Incomplete",IF(AND(SUM(C12:C19)&gt;=40*0.8,MIN(C12:C19)&gt;=3),"PASS","RETAKE"))</f>
        <v/>
      </c>
    </row>
  </sheetData>
  <conditionalFormatting sqref="C22">
    <cfRule type="cellIs" priority="1" operator="equal" dxfId="0">
      <formula>"PASS"</formula>
    </cfRule>
    <cfRule type="cellIs" priority="2" operator="equal" dxfId="2">
      <formula>"RETAKE"</formula>
    </cfRule>
  </conditionalFormatting>
  <dataValidations count="1">
    <dataValidation sqref="C12:C19" showDropDown="0" showInputMessage="0" showErrorMessage="0" allowBlank="0" type="whole" operator="between">
      <formula1>1</formula1>
      <formula2>5</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7"/>
  <sheetViews>
    <sheetView workbookViewId="0">
      <pane ySplit="8" topLeftCell="A9" activePane="bottomLeft" state="frozen"/>
      <selection pane="bottomLeft" activeCell="A1" sqref="A1"/>
    </sheetView>
  </sheetViews>
  <sheetFormatPr baseColWidth="8" defaultRowHeight="15"/>
  <cols>
    <col width="11" customWidth="1" min="1" max="1"/>
    <col width="13" customWidth="1" min="2" max="2"/>
    <col width="56" customWidth="1" min="3" max="3"/>
    <col width="13" customWidth="1" min="4" max="4"/>
    <col width="30" customWidth="1" min="5" max="5"/>
    <col width="11" customWidth="1" min="6" max="6"/>
    <col width="40" customWidth="1" min="7" max="7"/>
  </cols>
  <sheetData>
    <row r="1">
      <c r="A1" s="1" t="inlineStr">
        <is>
          <t>AE Onboarding Tracker: make a copy for each new hire</t>
        </is>
      </c>
    </row>
    <row r="2">
      <c r="F2" s="12" t="inlineStr">
        <is>
          <t>Progress</t>
        </is>
      </c>
      <c r="G2" s="13">
        <f>IFERROR(COUNTIF(F9:F87,TRUE)/COUNTA(C9:C87),0)</f>
        <v/>
      </c>
    </row>
    <row r="3">
      <c r="A3" s="8" t="inlineStr">
        <is>
          <t>Name:</t>
        </is>
      </c>
      <c r="D3" s="8" t="inlineStr">
        <is>
          <t>Region:</t>
        </is>
      </c>
    </row>
    <row r="4">
      <c r="A4" s="8" t="inlineStr">
        <is>
          <t>Job title:</t>
        </is>
      </c>
      <c r="D4" s="8" t="inlineStr">
        <is>
          <t>Line manager:</t>
        </is>
      </c>
    </row>
    <row r="5">
      <c r="A5" s="8" t="inlineStr">
        <is>
          <t>Start date:</t>
        </is>
      </c>
      <c r="B5" s="14" t="n"/>
      <c r="D5" s="8" t="inlineStr">
        <is>
          <t>Enablement manager:</t>
        </is>
      </c>
    </row>
    <row r="6">
      <c r="A6" s="8" t="inlineStr">
        <is>
          <t>Buddy:</t>
        </is>
      </c>
      <c r="D6" s="8" t="inlineStr">
        <is>
          <t>Cohort:</t>
        </is>
      </c>
    </row>
    <row r="8">
      <c r="A8" s="9" t="inlineStr">
        <is>
          <t>Week</t>
        </is>
      </c>
      <c r="B8" s="9" t="inlineStr">
        <is>
          <t>Target date</t>
        </is>
      </c>
      <c r="C8" s="9" t="inlineStr">
        <is>
          <t>Session</t>
        </is>
      </c>
      <c r="D8" s="9" t="inlineStr">
        <is>
          <t>Format</t>
        </is>
      </c>
      <c r="E8" s="9" t="inlineStr">
        <is>
          <t>Owner</t>
        </is>
      </c>
      <c r="F8" s="9" t="inlineStr">
        <is>
          <t>Complete?</t>
        </is>
      </c>
      <c r="G8" s="9" t="inlineStr">
        <is>
          <t>My notes</t>
        </is>
      </c>
    </row>
    <row r="9">
      <c r="A9" t="inlineStr">
        <is>
          <t>Pre-board</t>
        </is>
      </c>
      <c r="B9" s="15">
        <f>IF($B$5="","",$B$5-3)</f>
        <v/>
      </c>
      <c r="C9" s="10" t="inlineStr">
        <is>
          <t>Welcome pack, 90-day plan &amp; personal tracker issued</t>
        </is>
      </c>
      <c r="D9" t="inlineStr">
        <is>
          <t>Self-paced</t>
        </is>
      </c>
      <c r="E9" s="10" t="inlineStr">
        <is>
          <t>Enablement</t>
        </is>
      </c>
      <c r="F9" t="b">
        <v>0</v>
      </c>
    </row>
    <row r="10">
      <c r="A10" t="inlineStr">
        <is>
          <t>Pre-board</t>
        </is>
      </c>
      <c r="B10" s="15">
        <f>IF($B$5="","",$B$5-3)</f>
        <v/>
      </c>
      <c r="C10" s="10" t="inlineStr">
        <is>
          <t>Tool access pre-provisioned (Salesforce, Clari, Apollo, LinkedIn Sales Nav, Highspot, Glean)</t>
        </is>
      </c>
      <c r="D10" t="inlineStr">
        <is>
          <t>Self-paced</t>
        </is>
      </c>
      <c r="E10" s="10" t="inlineStr">
        <is>
          <t>Enablement + IT</t>
        </is>
      </c>
      <c r="F10" t="b">
        <v>0</v>
      </c>
    </row>
    <row r="11">
      <c r="A11" t="inlineStr">
        <is>
          <t>Pre-board</t>
        </is>
      </c>
      <c r="B11" s="15">
        <f>IF($B$5="","",$B$5-3)</f>
        <v/>
      </c>
      <c r="C11" s="10" t="inlineStr">
        <is>
          <t>Buddy assigned + manager welcome call</t>
        </is>
      </c>
      <c r="D11" t="inlineStr">
        <is>
          <t>Live</t>
        </is>
      </c>
      <c r="E11" s="10" t="inlineStr">
        <is>
          <t>Line manager</t>
        </is>
      </c>
      <c r="F11" t="b">
        <v>0</v>
      </c>
    </row>
    <row r="12">
      <c r="A12" t="inlineStr">
        <is>
          <t>Week 1</t>
        </is>
      </c>
      <c r="B12" s="15">
        <f>IF($B$5="","",$B$5+4)</f>
        <v/>
      </c>
      <c r="C12" s="10" t="inlineStr">
        <is>
          <t>IT, People &amp; Benefits inductions</t>
        </is>
      </c>
      <c r="D12" t="inlineStr">
        <is>
          <t>Live</t>
        </is>
      </c>
      <c r="E12" s="10" t="inlineStr">
        <is>
          <t>People Team</t>
        </is>
      </c>
      <c r="F12" t="b">
        <v>0</v>
      </c>
    </row>
    <row r="13">
      <c r="A13" t="inlineStr">
        <is>
          <t>Week 1</t>
        </is>
      </c>
      <c r="B13" s="15">
        <f>IF($B$5="","",$B$5+4)</f>
        <v/>
      </c>
      <c r="C13" s="10" t="inlineStr">
        <is>
          <t>Your onboarding plan: the 30/60/90 kickoff</t>
        </is>
      </c>
      <c r="D13" t="inlineStr">
        <is>
          <t>Live</t>
        </is>
      </c>
      <c r="E13" s="10" t="inlineStr">
        <is>
          <t>Enablement</t>
        </is>
      </c>
      <c r="F13" t="b">
        <v>0</v>
      </c>
    </row>
    <row r="14">
      <c r="A14" t="inlineStr">
        <is>
          <t>Week 1</t>
        </is>
      </c>
      <c r="B14" s="15">
        <f>IF($B$5="","",$B$5+4)</f>
        <v/>
      </c>
      <c r="C14" s="10" t="inlineStr">
        <is>
          <t>Intro to Checkout's Revenue Org (Global + NORAM)</t>
        </is>
      </c>
      <c r="D14" t="inlineStr">
        <is>
          <t>Live</t>
        </is>
      </c>
      <c r="E14" s="10" t="inlineStr">
        <is>
          <t>Michel Tornabene</t>
        </is>
      </c>
      <c r="F14" t="b">
        <v>0</v>
      </c>
    </row>
    <row r="15">
      <c r="A15" t="inlineStr">
        <is>
          <t>Week 1</t>
        </is>
      </c>
      <c r="B15" s="15">
        <f>IF($B$5="","",$B$5+4)</f>
        <v/>
      </c>
      <c r="C15" s="10" t="inlineStr">
        <is>
          <t>Mandatory compliance training (Nova)</t>
        </is>
      </c>
      <c r="D15" t="inlineStr">
        <is>
          <t>Self-paced</t>
        </is>
      </c>
      <c r="E15" s="10" t="inlineStr">
        <is>
          <t>New hire</t>
        </is>
      </c>
      <c r="F15" t="b">
        <v>0</v>
      </c>
    </row>
    <row r="16">
      <c r="A16" t="inlineStr">
        <is>
          <t>Week 1</t>
        </is>
      </c>
      <c r="B16" s="15">
        <f>IF($B$5="","",$B$5+4)</f>
        <v/>
      </c>
      <c r="C16" s="10" t="inlineStr">
        <is>
          <t>Payments at Checkout in 60 minutes</t>
        </is>
      </c>
      <c r="D16" t="inlineStr">
        <is>
          <t>Live</t>
        </is>
      </c>
      <c r="E16" s="10" t="inlineStr">
        <is>
          <t>Enablement + Solutions Engineering</t>
        </is>
      </c>
      <c r="F16" t="b">
        <v>0</v>
      </c>
    </row>
    <row r="17">
      <c r="A17" t="inlineStr">
        <is>
          <t>Week 1</t>
        </is>
      </c>
      <c r="B17" s="15">
        <f>IF($B$5="","",$B$5+4)</f>
        <v/>
      </c>
      <c r="C17" s="10" t="inlineStr">
        <is>
          <t>Sales Tools &amp; Chrome Extensions</t>
        </is>
      </c>
      <c r="D17" t="inlineStr">
        <is>
          <t>Live</t>
        </is>
      </c>
      <c r="E17" s="10" t="inlineStr">
        <is>
          <t>J.J. Henry</t>
        </is>
      </c>
      <c r="F17" t="b">
        <v>0</v>
      </c>
    </row>
    <row r="18">
      <c r="A18" t="inlineStr">
        <is>
          <t>Week 1</t>
        </is>
      </c>
      <c r="B18" s="15">
        <f>IF($B$5="","",$B$5+4)</f>
        <v/>
      </c>
      <c r="C18" s="10" t="inlineStr">
        <is>
          <t>Finding answers: Highspot, Confluence &amp; Glean</t>
        </is>
      </c>
      <c r="D18" t="inlineStr">
        <is>
          <t>Live</t>
        </is>
      </c>
      <c r="E18" s="10" t="inlineStr">
        <is>
          <t>Enablement</t>
        </is>
      </c>
      <c r="F18" t="b">
        <v>0</v>
      </c>
    </row>
    <row r="19">
      <c r="A19" t="inlineStr">
        <is>
          <t>Week 1</t>
        </is>
      </c>
      <c r="B19" s="15">
        <f>IF($B$5="","",$B$5+4)</f>
        <v/>
      </c>
      <c r="C19" s="10" t="inlineStr">
        <is>
          <t>Office hours with the NORAM GM</t>
        </is>
      </c>
      <c r="D19" t="inlineStr">
        <is>
          <t>Live</t>
        </is>
      </c>
      <c r="E19" s="10" t="inlineStr">
        <is>
          <t>Zack Levine</t>
        </is>
      </c>
      <c r="F19" t="b">
        <v>0</v>
      </c>
    </row>
    <row r="20">
      <c r="A20" t="inlineStr">
        <is>
          <t>Week 1</t>
        </is>
      </c>
      <c r="B20" s="15">
        <f>IF($B$5="","",$B$5+4)</f>
        <v/>
      </c>
      <c r="C20" s="10" t="inlineStr">
        <is>
          <t>RevWay 0–1: Intro to Revenue Way &amp; Buyer Psychology</t>
        </is>
      </c>
      <c r="D20" t="inlineStr">
        <is>
          <t>Self-paced</t>
        </is>
      </c>
      <c r="E20" s="10" t="inlineStr">
        <is>
          <t>Self-directed</t>
        </is>
      </c>
      <c r="F20" t="b">
        <v>0</v>
      </c>
    </row>
    <row r="21">
      <c r="A21" t="inlineStr">
        <is>
          <t>Week 1</t>
        </is>
      </c>
      <c r="B21" s="15">
        <f>IF($B$5="","",$B$5+4)</f>
        <v/>
      </c>
      <c r="C21" s="10" t="inlineStr">
        <is>
          <t>Meet your pod + buddy coffee</t>
        </is>
      </c>
      <c r="D21" t="inlineStr">
        <is>
          <t>Practice</t>
        </is>
      </c>
      <c r="E21" s="10" t="inlineStr">
        <is>
          <t>Pod leader</t>
        </is>
      </c>
      <c r="F21" t="b">
        <v>0</v>
      </c>
    </row>
    <row r="22">
      <c r="A22" t="inlineStr">
        <is>
          <t>Week 2</t>
        </is>
      </c>
      <c r="B22" s="15">
        <f>IF($B$5="","",$B$5+11)</f>
        <v/>
      </c>
      <c r="C22" s="10" t="inlineStr">
        <is>
          <t>Buyer personas in payments (Head of Payments, CFO, CPO, Eng)</t>
        </is>
      </c>
      <c r="D22" t="inlineStr">
        <is>
          <t>Live</t>
        </is>
      </c>
      <c r="E22" s="10" t="inlineStr">
        <is>
          <t>J.J. Henry</t>
        </is>
      </c>
      <c r="F22" t="b">
        <v>0</v>
      </c>
    </row>
    <row r="23">
      <c r="A23" t="inlineStr">
        <is>
          <t>Week 2</t>
        </is>
      </c>
      <c r="B23" s="15">
        <f>IF($B$5="","",$B$5+11)</f>
        <v/>
      </c>
      <c r="C23" s="10" t="inlineStr">
        <is>
          <t>Competitive Landscape</t>
        </is>
      </c>
      <c r="D23" t="inlineStr">
        <is>
          <t>Live</t>
        </is>
      </c>
      <c r="E23" s="10" t="inlineStr">
        <is>
          <t>Michel Tornabene</t>
        </is>
      </c>
      <c r="F23" t="b">
        <v>0</v>
      </c>
    </row>
    <row r="24">
      <c r="A24" t="inlineStr">
        <is>
          <t>Week 2</t>
        </is>
      </c>
      <c r="B24" s="15">
        <f>IF($B$5="","",$B$5+11)</f>
        <v/>
      </c>
      <c r="C24" s="10" t="inlineStr">
        <is>
          <t>Territory planning (STP), Rules of Engagement &amp; Incentive Ratings</t>
        </is>
      </c>
      <c r="D24" t="inlineStr">
        <is>
          <t>Live</t>
        </is>
      </c>
      <c r="E24" s="10" t="inlineStr">
        <is>
          <t>Francesco Falcone</t>
        </is>
      </c>
      <c r="F24" t="b">
        <v>0</v>
      </c>
    </row>
    <row r="25">
      <c r="A25" t="inlineStr">
        <is>
          <t>Week 2</t>
        </is>
      </c>
      <c r="B25" s="15">
        <f>IF($B$5="","",$B$5+11)</f>
        <v/>
      </c>
      <c r="C25" s="10" t="inlineStr">
        <is>
          <t>Salesforce, Clari &amp; pipeline hygiene</t>
        </is>
      </c>
      <c r="D25" t="inlineStr">
        <is>
          <t>Live</t>
        </is>
      </c>
      <c r="E25" s="10" t="inlineStr">
        <is>
          <t>Francesco Falcone</t>
        </is>
      </c>
      <c r="F25" t="b">
        <v>0</v>
      </c>
    </row>
    <row r="26">
      <c r="A26" t="inlineStr">
        <is>
          <t>Week 2</t>
        </is>
      </c>
      <c r="B26" s="15">
        <f>IF($B$5="","",$B$5+11)</f>
        <v/>
      </c>
      <c r="C26" s="10" t="inlineStr">
        <is>
          <t>AI in Commercial</t>
        </is>
      </c>
      <c r="D26" t="inlineStr">
        <is>
          <t>Live</t>
        </is>
      </c>
      <c r="E26" s="10" t="inlineStr">
        <is>
          <t>Molly McKenna</t>
        </is>
      </c>
      <c r="F26" t="b">
        <v>0</v>
      </c>
    </row>
    <row r="27">
      <c r="A27" t="inlineStr">
        <is>
          <t>Week 2</t>
        </is>
      </c>
      <c r="B27" s="15">
        <f>IF($B$5="","",$B$5+11)</f>
        <v/>
      </c>
      <c r="C27" s="10" t="inlineStr">
        <is>
          <t>Meet the team: Sales, AM, Financial Partnerships, Partnerships, SE, RevOps</t>
        </is>
      </c>
      <c r="D27" t="inlineStr">
        <is>
          <t>Live</t>
        </is>
      </c>
      <c r="E27" s="10" t="inlineStr">
        <is>
          <t>Team leads</t>
        </is>
      </c>
      <c r="F27" t="b">
        <v>0</v>
      </c>
    </row>
    <row r="28">
      <c r="A28" t="inlineStr">
        <is>
          <t>Week 2</t>
        </is>
      </c>
      <c r="B28" s="15">
        <f>IF($B$5="","",$B$5+11)</f>
        <v/>
      </c>
      <c r="C28" s="10" t="inlineStr">
        <is>
          <t>Payments Academy: Foundations modules 1–5</t>
        </is>
      </c>
      <c r="D28" t="inlineStr">
        <is>
          <t>Self-paced</t>
        </is>
      </c>
      <c r="E28" s="10" t="inlineStr">
        <is>
          <t>Self-directed</t>
        </is>
      </c>
      <c r="F28" t="b">
        <v>0</v>
      </c>
    </row>
    <row r="29">
      <c r="A29" t="inlineStr">
        <is>
          <t>Week 2</t>
        </is>
      </c>
      <c r="B29" s="15">
        <f>IF($B$5="","",$B$5+11)</f>
        <v/>
      </c>
      <c r="C29" s="10" t="inlineStr">
        <is>
          <t>RevWay 2–3: DEPTH Selling &amp; Managing Pipeline</t>
        </is>
      </c>
      <c r="D29" t="inlineStr">
        <is>
          <t>Self-paced</t>
        </is>
      </c>
      <c r="E29" s="10" t="inlineStr">
        <is>
          <t>Self-directed</t>
        </is>
      </c>
      <c r="F29" t="b">
        <v>0</v>
      </c>
    </row>
    <row r="30">
      <c r="A30" t="inlineStr">
        <is>
          <t>Week 2</t>
        </is>
      </c>
      <c r="B30" s="15">
        <f>IF($B$5="","",$B$5+11)</f>
        <v/>
      </c>
      <c r="C30" s="10" t="inlineStr">
        <is>
          <t>Friday knowledge check (Kahoot, pod leads join), runs weekly</t>
        </is>
      </c>
      <c r="D30" t="inlineStr">
        <is>
          <t>Practice</t>
        </is>
      </c>
      <c r="E30" s="10" t="inlineStr">
        <is>
          <t>Enablement + pod leads</t>
        </is>
      </c>
      <c r="F30" t="b">
        <v>0</v>
      </c>
    </row>
    <row r="31">
      <c r="A31" t="inlineStr">
        <is>
          <t>Week 3</t>
        </is>
      </c>
      <c r="B31" s="15">
        <f>IF($B$5="","",$B$5+18)</f>
        <v/>
      </c>
      <c r="C31" s="10" t="inlineStr">
        <is>
          <t>Payments Academy: Foundations 6–10 + live debrief</t>
        </is>
      </c>
      <c r="D31" t="inlineStr">
        <is>
          <t>Self-paced</t>
        </is>
      </c>
      <c r="E31" s="10" t="inlineStr">
        <is>
          <t>Enablement</t>
        </is>
      </c>
      <c r="F31" t="b">
        <v>0</v>
      </c>
    </row>
    <row r="32">
      <c r="A32" t="inlineStr">
        <is>
          <t>Week 3</t>
        </is>
      </c>
      <c r="B32" s="15">
        <f>IF($B$5="","",$B$5+18)</f>
        <v/>
      </c>
      <c r="C32" s="10" t="inlineStr">
        <is>
          <t>Product Foundations: Connect &amp; Move</t>
        </is>
      </c>
      <c r="D32" t="inlineStr">
        <is>
          <t>Self-paced</t>
        </is>
      </c>
      <c r="E32" s="10" t="inlineStr">
        <is>
          <t>Self-directed</t>
        </is>
      </c>
      <c r="F32" t="b">
        <v>0</v>
      </c>
    </row>
    <row r="33">
      <c r="A33" t="inlineStr">
        <is>
          <t>Week 3</t>
        </is>
      </c>
      <c r="B33" s="15">
        <f>IF($B$5="","",$B$5+18)</f>
        <v/>
      </c>
      <c r="C33" s="10" t="inlineStr">
        <is>
          <t>Pillars in live deals: Connect &amp; Move (30 min each)</t>
        </is>
      </c>
      <c r="D33" t="inlineStr">
        <is>
          <t>Live</t>
        </is>
      </c>
      <c r="E33" s="10" t="inlineStr">
        <is>
          <t>Pod leads</t>
        </is>
      </c>
      <c r="F33" t="b">
        <v>0</v>
      </c>
    </row>
    <row r="34">
      <c r="A34" t="inlineStr">
        <is>
          <t>Week 3</t>
        </is>
      </c>
      <c r="B34" s="15">
        <f>IF($B$5="","",$B$5+18)</f>
        <v/>
      </c>
      <c r="C34" s="10" t="inlineStr">
        <is>
          <t>International Outlook: acquiring set-ups &amp; cross-border</t>
        </is>
      </c>
      <c r="D34" t="inlineStr">
        <is>
          <t>Live</t>
        </is>
      </c>
      <c r="E34" s="10" t="inlineStr">
        <is>
          <t>Michel Tornabene</t>
        </is>
      </c>
      <c r="F34" t="b">
        <v>0</v>
      </c>
    </row>
    <row r="35">
      <c r="A35" t="inlineStr">
        <is>
          <t>Week 3</t>
        </is>
      </c>
      <c r="B35" s="15">
        <f>IF($B$5="","",$B$5+18)</f>
        <v/>
      </c>
      <c r="C35" s="10" t="inlineStr">
        <is>
          <t>Commercial Risk</t>
        </is>
      </c>
      <c r="D35" t="inlineStr">
        <is>
          <t>Live</t>
        </is>
      </c>
      <c r="E35" s="10" t="inlineStr">
        <is>
          <t>Michel Tornabene</t>
        </is>
      </c>
      <c r="F35" t="b">
        <v>0</v>
      </c>
    </row>
    <row r="36">
      <c r="A36" t="inlineStr">
        <is>
          <t>Week 3</t>
        </is>
      </c>
      <c r="B36" s="15">
        <f>IF($B$5="","",$B$5+18)</f>
        <v/>
      </c>
      <c r="C36" s="10" t="inlineStr">
        <is>
          <t>Intro to NORAM verticals &amp; where we win</t>
        </is>
      </c>
      <c r="D36" t="inlineStr">
        <is>
          <t>Live</t>
        </is>
      </c>
      <c r="E36" s="10" t="inlineStr">
        <is>
          <t>Francesco Falcone</t>
        </is>
      </c>
      <c r="F36" t="b">
        <v>0</v>
      </c>
    </row>
    <row r="37">
      <c r="A37" t="inlineStr">
        <is>
          <t>Week 3</t>
        </is>
      </c>
      <c r="B37" s="15">
        <f>IF($B$5="","",$B$5+18)</f>
        <v/>
      </c>
      <c r="C37" s="10" t="inlineStr">
        <is>
          <t>Weekly call-review hour begins (Clari gametapes)</t>
        </is>
      </c>
      <c r="D37" t="inlineStr">
        <is>
          <t>Practice</t>
        </is>
      </c>
      <c r="E37" s="10" t="inlineStr">
        <is>
          <t>Jim Cho + Francesco Falcone</t>
        </is>
      </c>
      <c r="F37" t="b">
        <v>0</v>
      </c>
    </row>
    <row r="38">
      <c r="A38" t="inlineStr">
        <is>
          <t>Week 3</t>
        </is>
      </c>
      <c r="B38" s="15">
        <f>IF($B$5="","",$B$5+18)</f>
        <v/>
      </c>
      <c r="C38" s="10" t="inlineStr">
        <is>
          <t>Outreach lab: openers, email personalisation &amp; gatekeepers</t>
        </is>
      </c>
      <c r="D38" t="inlineStr">
        <is>
          <t>Live</t>
        </is>
      </c>
      <c r="E38" s="10" t="inlineStr">
        <is>
          <t>J.J. Henry</t>
        </is>
      </c>
      <c r="F38" t="b">
        <v>0</v>
      </c>
    </row>
    <row r="39">
      <c r="A39" t="inlineStr">
        <is>
          <t>Week 4</t>
        </is>
      </c>
      <c r="B39" s="15">
        <f>IF($B$5="","",$B$5+25)</f>
        <v/>
      </c>
      <c r="C39" s="10" t="inlineStr">
        <is>
          <t>Product Foundations: Protect, Boost &amp; Manage</t>
        </is>
      </c>
      <c r="D39" t="inlineStr">
        <is>
          <t>Self-paced</t>
        </is>
      </c>
      <c r="E39" s="10" t="inlineStr">
        <is>
          <t>Self-directed</t>
        </is>
      </c>
      <c r="F39" t="b">
        <v>0</v>
      </c>
    </row>
    <row r="40">
      <c r="A40" t="inlineStr">
        <is>
          <t>Week 4</t>
        </is>
      </c>
      <c r="B40" s="15">
        <f>IF($B$5="","",$B$5+25)</f>
        <v/>
      </c>
      <c r="C40" s="10" t="inlineStr">
        <is>
          <t>Pillars in live deals: Protect, Boost &amp; Manage</t>
        </is>
      </c>
      <c r="D40" t="inlineStr">
        <is>
          <t>Live</t>
        </is>
      </c>
      <c r="E40" s="10" t="inlineStr">
        <is>
          <t>Pod leads</t>
        </is>
      </c>
      <c r="F40" t="b">
        <v>0</v>
      </c>
    </row>
    <row r="41">
      <c r="A41" t="inlineStr">
        <is>
          <t>Week 4</t>
        </is>
      </c>
      <c r="B41" s="15">
        <f>IF($B$5="","",$B$5+25)</f>
        <v/>
      </c>
      <c r="C41" s="10" t="inlineStr">
        <is>
          <t>Payment Performance AMA (Boost)</t>
        </is>
      </c>
      <c r="D41" t="inlineStr">
        <is>
          <t>Live</t>
        </is>
      </c>
      <c r="E41" s="10" t="inlineStr">
        <is>
          <t>Daniel Linder</t>
        </is>
      </c>
      <c r="F41" t="b">
        <v>0</v>
      </c>
    </row>
    <row r="42">
      <c r="A42" t="inlineStr">
        <is>
          <t>Week 4</t>
        </is>
      </c>
      <c r="B42" s="15">
        <f>IF($B$5="","",$B$5+25)</f>
        <v/>
      </c>
      <c r="C42" s="10" t="inlineStr">
        <is>
          <t>Account list review: your Top 70</t>
        </is>
      </c>
      <c r="D42" t="inlineStr">
        <is>
          <t>Practice</t>
        </is>
      </c>
      <c r="E42" s="10" t="inlineStr">
        <is>
          <t>Line manager</t>
        </is>
      </c>
      <c r="F42" t="b">
        <v>0</v>
      </c>
    </row>
    <row r="43">
      <c r="A43" t="inlineStr">
        <is>
          <t>Week 4</t>
        </is>
      </c>
      <c r="B43" s="15">
        <f>IF($B$5="","",$B$5+25)</f>
        <v/>
      </c>
      <c r="C43" s="10" t="inlineStr">
        <is>
          <t>RevWay 4–5: Discovery &amp; Explore phases</t>
        </is>
      </c>
      <c r="D43" t="inlineStr">
        <is>
          <t>Self-paced</t>
        </is>
      </c>
      <c r="E43" s="10" t="inlineStr">
        <is>
          <t>Self-directed</t>
        </is>
      </c>
      <c r="F43" t="b">
        <v>0</v>
      </c>
    </row>
    <row r="44">
      <c r="A44" t="inlineStr">
        <is>
          <t>Week 4</t>
        </is>
      </c>
      <c r="B44" s="15">
        <f>IF($B$5="","",$B$5+25)</f>
        <v/>
      </c>
      <c r="C44" s="10" t="inlineStr">
        <is>
          <t>Cold-call role play</t>
        </is>
      </c>
      <c r="D44" t="inlineStr">
        <is>
          <t>Practice</t>
        </is>
      </c>
      <c r="E44" s="10" t="inlineStr">
        <is>
          <t>J.J. Henry</t>
        </is>
      </c>
      <c r="F44" t="b">
        <v>0</v>
      </c>
    </row>
    <row r="45">
      <c r="A45" t="inlineStr">
        <is>
          <t>Week 4</t>
        </is>
      </c>
      <c r="B45" s="15">
        <f>IF($B$5="","",$B$5+25)</f>
        <v/>
      </c>
      <c r="C45" s="10" t="inlineStr">
        <is>
          <t>Day 30 Checkpoint: elevator pitch + five-pillar knowledge check</t>
        </is>
      </c>
      <c r="D45" t="inlineStr">
        <is>
          <t>Certification</t>
        </is>
      </c>
      <c r="E45" s="10" t="inlineStr">
        <is>
          <t>Line manager + Enablement</t>
        </is>
      </c>
      <c r="F45" t="b">
        <v>0</v>
      </c>
    </row>
    <row r="46">
      <c r="A46" t="inlineStr">
        <is>
          <t>Week 5</t>
        </is>
      </c>
      <c r="B46" s="15">
        <f>IF($B$5="","",$B$5+32)</f>
        <v/>
      </c>
      <c r="C46" s="10" t="inlineStr">
        <is>
          <t>Vertical deep dives: Digital Content and Ecommerce</t>
        </is>
      </c>
      <c r="D46" t="inlineStr">
        <is>
          <t>Live</t>
        </is>
      </c>
      <c r="E46" s="10" t="inlineStr">
        <is>
          <t>Jules Gay / Katie Wile</t>
        </is>
      </c>
      <c r="F46" t="b">
        <v>0</v>
      </c>
    </row>
    <row r="47">
      <c r="A47" t="inlineStr">
        <is>
          <t>Week 5</t>
        </is>
      </c>
      <c r="B47" s="15">
        <f>IF($B$5="","",$B$5+32)</f>
        <v/>
      </c>
      <c r="C47" s="10" t="inlineStr">
        <is>
          <t>Vertical deep dives: Neobank &amp; Remittance (AFT/OCT), Consumer Lending &amp; Proptech</t>
        </is>
      </c>
      <c r="D47" t="inlineStr">
        <is>
          <t>Live</t>
        </is>
      </c>
      <c r="E47" s="10" t="inlineStr">
        <is>
          <t>Olivia Smith / Octavio Balcazar</t>
        </is>
      </c>
      <c r="F47" t="b">
        <v>0</v>
      </c>
    </row>
    <row r="48">
      <c r="A48" t="inlineStr">
        <is>
          <t>Week 5</t>
        </is>
      </c>
      <c r="B48" s="15">
        <f>IF($B$5="","",$B$5+32)</f>
        <v/>
      </c>
      <c r="C48" s="10" t="inlineStr">
        <is>
          <t>Intro to Deal Management &amp; Deal Desk</t>
        </is>
      </c>
      <c r="D48" t="inlineStr">
        <is>
          <t>Live</t>
        </is>
      </c>
      <c r="E48" s="10" t="inlineStr">
        <is>
          <t>Faith Bergman</t>
        </is>
      </c>
      <c r="F48" t="b">
        <v>0</v>
      </c>
    </row>
    <row r="49">
      <c r="A49" t="inlineStr">
        <is>
          <t>Week 5</t>
        </is>
      </c>
      <c r="B49" s="15">
        <f>IF($B$5="","",$B$5+32)</f>
        <v/>
      </c>
      <c r="C49" s="10" t="inlineStr">
        <is>
          <t>Partner ecosystem: who we sell with and how</t>
        </is>
      </c>
      <c r="D49" t="inlineStr">
        <is>
          <t>Live</t>
        </is>
      </c>
      <c r="E49" s="10" t="inlineStr">
        <is>
          <t>Jim Cho / Francesco Falcone / Jaime Yeager</t>
        </is>
      </c>
      <c r="F49" t="b">
        <v>0</v>
      </c>
    </row>
    <row r="50">
      <c r="A50" t="inlineStr">
        <is>
          <t>Week 5</t>
        </is>
      </c>
      <c r="B50" s="15">
        <f>IF($B$5="","",$B$5+32)</f>
        <v/>
      </c>
      <c r="C50" s="10" t="inlineStr">
        <is>
          <t>Build your prospecting cadence (Apollo)</t>
        </is>
      </c>
      <c r="D50" t="inlineStr">
        <is>
          <t>Practice</t>
        </is>
      </c>
      <c r="E50" s="10" t="inlineStr">
        <is>
          <t>Ronak Bali</t>
        </is>
      </c>
      <c r="F50" t="b">
        <v>0</v>
      </c>
    </row>
    <row r="51">
      <c r="A51" t="inlineStr">
        <is>
          <t>Week 6</t>
        </is>
      </c>
      <c r="B51" s="15">
        <f>IF($B$5="","",$B$5+39)</f>
        <v/>
      </c>
      <c r="C51" s="10" t="inlineStr">
        <is>
          <t>ISV, Marketplace &amp; MoR deep dive</t>
        </is>
      </c>
      <c r="D51" t="inlineStr">
        <is>
          <t>Live</t>
        </is>
      </c>
      <c r="E51" s="10" t="inlineStr">
        <is>
          <t>Michael Taylor</t>
        </is>
      </c>
      <c r="F51" t="b">
        <v>0</v>
      </c>
    </row>
    <row r="52">
      <c r="A52" t="inlineStr">
        <is>
          <t>Week 6</t>
        </is>
      </c>
      <c r="B52" s="15">
        <f>IF($B$5="","",$B$5+39)</f>
        <v/>
      </c>
      <c r="C52" s="10" t="inlineStr">
        <is>
          <t>Pay to Card, Pay to Bank &amp; FX</t>
        </is>
      </c>
      <c r="D52" t="inlineStr">
        <is>
          <t>Live</t>
        </is>
      </c>
      <c r="E52" s="10" t="inlineStr">
        <is>
          <t>Olivia Smith</t>
        </is>
      </c>
      <c r="F52" t="b">
        <v>0</v>
      </c>
    </row>
    <row r="53">
      <c r="A53" t="inlineStr">
        <is>
          <t>Week 6</t>
        </is>
      </c>
      <c r="B53" s="15">
        <f>IF($B$5="","",$B$5+39)</f>
        <v/>
      </c>
      <c r="C53" s="10" t="inlineStr">
        <is>
          <t>Visa Direct: AFTs &amp; card payouts</t>
        </is>
      </c>
      <c r="D53" t="inlineStr">
        <is>
          <t>Live</t>
        </is>
      </c>
      <c r="E53" s="10" t="inlineStr">
        <is>
          <t>Amber McClure</t>
        </is>
      </c>
      <c r="F53" t="b">
        <v>0</v>
      </c>
    </row>
    <row r="54">
      <c r="A54" t="inlineStr">
        <is>
          <t>Week 6</t>
        </is>
      </c>
      <c r="B54" s="15">
        <f>IF($B$5="","",$B$5+39)</f>
        <v/>
      </c>
      <c r="C54" s="10" t="inlineStr">
        <is>
          <t>Technical integration &amp; merchant onboarding experience</t>
        </is>
      </c>
      <c r="D54" t="inlineStr">
        <is>
          <t>Live</t>
        </is>
      </c>
      <c r="E54" s="10" t="inlineStr">
        <is>
          <t>Michael Taylor + Faith Bergman</t>
        </is>
      </c>
      <c r="F54" t="b">
        <v>0</v>
      </c>
    </row>
    <row r="55">
      <c r="A55" t="inlineStr">
        <is>
          <t>Week 6</t>
        </is>
      </c>
      <c r="B55" s="15">
        <f>IF($B$5="","",$B$5+39)</f>
        <v/>
      </c>
      <c r="C55" s="10" t="inlineStr">
        <is>
          <t>Underwriting overview</t>
        </is>
      </c>
      <c r="D55" t="inlineStr">
        <is>
          <t>Live</t>
        </is>
      </c>
      <c r="E55" s="10" t="inlineStr">
        <is>
          <t>Jack Pontarelli</t>
        </is>
      </c>
      <c r="F55" t="b">
        <v>0</v>
      </c>
    </row>
    <row r="56">
      <c r="A56" t="inlineStr">
        <is>
          <t>Week 6</t>
        </is>
      </c>
      <c r="B56" s="15">
        <f>IF($B$5="","",$B$5+39)</f>
        <v/>
      </c>
      <c r="C56" s="10" t="inlineStr">
        <is>
          <t>RevWay 6–7: Questioning, funnel technique &amp; listening</t>
        </is>
      </c>
      <c r="D56" t="inlineStr">
        <is>
          <t>Self-paced</t>
        </is>
      </c>
      <c r="E56" s="10" t="inlineStr">
        <is>
          <t>Self-directed</t>
        </is>
      </c>
      <c r="F56" t="b">
        <v>0</v>
      </c>
    </row>
    <row r="57">
      <c r="A57" t="inlineStr">
        <is>
          <t>Week 7</t>
        </is>
      </c>
      <c r="B57" s="15">
        <f>IF($B$5="","",$B$5+46)</f>
        <v/>
      </c>
      <c r="C57" s="10" t="inlineStr">
        <is>
          <t>Voice of the customer: Head of Payments panel</t>
        </is>
      </c>
      <c r="D57" t="inlineStr">
        <is>
          <t>Live</t>
        </is>
      </c>
      <c r="E57" s="10" t="inlineStr">
        <is>
          <t>Jaime Yeager / Jim Cho</t>
        </is>
      </c>
      <c r="F57" t="b">
        <v>0</v>
      </c>
    </row>
    <row r="58">
      <c r="A58" t="inlineStr">
        <is>
          <t>Week 7</t>
        </is>
      </c>
      <c r="B58" s="15">
        <f>IF($B$5="","",$B$5+46)</f>
        <v/>
      </c>
      <c r="C58" s="10" t="inlineStr">
        <is>
          <t>Top-rep Q&amp;A, every two weeks</t>
        </is>
      </c>
      <c r="D58" t="inlineStr">
        <is>
          <t>Live</t>
        </is>
      </c>
      <c r="E58" s="10" t="inlineStr">
        <is>
          <t>Sam Boukhiam / Louis Taupin</t>
        </is>
      </c>
      <c r="F58" t="b">
        <v>0</v>
      </c>
    </row>
    <row r="59">
      <c r="A59" t="inlineStr">
        <is>
          <t>Week 7</t>
        </is>
      </c>
      <c r="B59" s="15">
        <f>IF($B$5="","",$B$5+46)</f>
        <v/>
      </c>
      <c r="C59" s="10" t="inlineStr">
        <is>
          <t>Vertical deep dives: Insurance and Gaming &amp; Gambling</t>
        </is>
      </c>
      <c r="D59" t="inlineStr">
        <is>
          <t>Live</t>
        </is>
      </c>
      <c r="E59" s="10" t="inlineStr">
        <is>
          <t>Olivia Smith / Aaron Popack</t>
        </is>
      </c>
      <c r="F59" t="b">
        <v>0</v>
      </c>
    </row>
    <row r="60">
      <c r="A60" t="inlineStr">
        <is>
          <t>Week 7</t>
        </is>
      </c>
      <c r="B60" s="15">
        <f>IF($B$5="","",$B$5+46)</f>
        <v/>
      </c>
      <c r="C60" s="10" t="inlineStr">
        <is>
          <t>Canada &amp; the Canadian market</t>
        </is>
      </c>
      <c r="D60" t="inlineStr">
        <is>
          <t>Live</t>
        </is>
      </c>
      <c r="E60" s="10" t="inlineStr">
        <is>
          <t>Yousef Almawy</t>
        </is>
      </c>
      <c r="F60" t="b">
        <v>0</v>
      </c>
    </row>
    <row r="61">
      <c r="A61" t="inlineStr">
        <is>
          <t>Week 7</t>
        </is>
      </c>
      <c r="B61" s="15">
        <f>IF($B$5="","",$B$5+46)</f>
        <v/>
      </c>
      <c r="C61" s="10" t="inlineStr">
        <is>
          <t>Role play with your pod lead</t>
        </is>
      </c>
      <c r="D61" t="inlineStr">
        <is>
          <t>Practice</t>
        </is>
      </c>
      <c r="E61" s="10" t="inlineStr">
        <is>
          <t>Pod leads</t>
        </is>
      </c>
      <c r="F61" t="b">
        <v>0</v>
      </c>
    </row>
    <row r="62">
      <c r="A62" t="inlineStr">
        <is>
          <t>Week 8</t>
        </is>
      </c>
      <c r="B62" s="15">
        <f>IF($B$5="","",$B$5+53)</f>
        <v/>
      </c>
      <c r="C62" s="10" t="inlineStr">
        <is>
          <t>Competitive deal clinic + refreshed battlecards</t>
        </is>
      </c>
      <c r="D62" t="inlineStr">
        <is>
          <t>Live</t>
        </is>
      </c>
      <c r="E62" s="10" t="inlineStr">
        <is>
          <t>Jim Cho</t>
        </is>
      </c>
      <c r="F62" t="b">
        <v>0</v>
      </c>
    </row>
    <row r="63">
      <c r="A63" t="inlineStr">
        <is>
          <t>Week 8</t>
        </is>
      </c>
      <c r="B63" s="15">
        <f>IF($B$5="","",$B$5+53)</f>
        <v/>
      </c>
      <c r="C63" s="10" t="inlineStr">
        <is>
          <t>Payment performance metrics that matter (auth rates, declines, tokens, cost)</t>
        </is>
      </c>
      <c r="D63" t="inlineStr">
        <is>
          <t>Live</t>
        </is>
      </c>
      <c r="E63" s="10" t="inlineStr">
        <is>
          <t>Solutions Engineering + Product</t>
        </is>
      </c>
      <c r="F63" t="b">
        <v>0</v>
      </c>
    </row>
    <row r="64">
      <c r="A64" t="inlineStr">
        <is>
          <t>Week 8</t>
        </is>
      </c>
      <c r="B64" s="15">
        <f>IF($B$5="","",$B$5+53)</f>
        <v/>
      </c>
      <c r="C64" s="10" t="inlineStr">
        <is>
          <t>Explore call gametapes: what great sounds like</t>
        </is>
      </c>
      <c r="D64" t="inlineStr">
        <is>
          <t>Practice</t>
        </is>
      </c>
      <c r="E64" s="10" t="inlineStr">
        <is>
          <t>Jim Cho + Francesco Falcone</t>
        </is>
      </c>
      <c r="F64" t="b">
        <v>0</v>
      </c>
    </row>
    <row r="65">
      <c r="A65" t="inlineStr">
        <is>
          <t>Week 9</t>
        </is>
      </c>
      <c r="B65" s="15">
        <f>IF($B$5="","",$B$5+60)</f>
        <v/>
      </c>
      <c r="C65" s="10" t="inlineStr">
        <is>
          <t>Explore Call Masterclass: running discovery the Checkout way</t>
        </is>
      </c>
      <c r="D65" t="inlineStr">
        <is>
          <t>Live</t>
        </is>
      </c>
      <c r="E65" s="10" t="inlineStr">
        <is>
          <t>Enablement + top AE</t>
        </is>
      </c>
      <c r="F65" t="b">
        <v>0</v>
      </c>
    </row>
    <row r="66">
      <c r="A66" t="inlineStr">
        <is>
          <t>Week 9</t>
        </is>
      </c>
      <c r="B66" s="15">
        <f>IF($B$5="","",$B$5+60)</f>
        <v/>
      </c>
      <c r="C66" s="10" t="inlineStr">
        <is>
          <t>Payments discovery question bank &amp; value hypothesis</t>
        </is>
      </c>
      <c r="D66" t="inlineStr">
        <is>
          <t>Live</t>
        </is>
      </c>
      <c r="E66" s="10" t="inlineStr">
        <is>
          <t>Enablement + Solutions Engineering</t>
        </is>
      </c>
      <c r="F66" t="b">
        <v>0</v>
      </c>
    </row>
    <row r="67">
      <c r="A67" t="inlineStr">
        <is>
          <t>Week 9</t>
        </is>
      </c>
      <c r="B67" s="15">
        <f>IF($B$5="","",$B$5+60)</f>
        <v/>
      </c>
      <c r="C67" s="10" t="inlineStr">
        <is>
          <t>Explore role-play sprint</t>
        </is>
      </c>
      <c r="D67" t="inlineStr">
        <is>
          <t>Practice</t>
        </is>
      </c>
      <c r="E67" s="10" t="inlineStr">
        <is>
          <t>Pod leads + buddy</t>
        </is>
      </c>
      <c r="F67" t="b">
        <v>0</v>
      </c>
    </row>
    <row r="68">
      <c r="A68" t="inlineStr">
        <is>
          <t>Week 9</t>
        </is>
      </c>
      <c r="B68" s="15">
        <f>IF($B$5="","",$B$5+60)</f>
        <v/>
      </c>
      <c r="C68" s="10" t="inlineStr">
        <is>
          <t>★ Explore Call Certification</t>
        </is>
      </c>
      <c r="D68" t="inlineStr">
        <is>
          <t>Certification</t>
        </is>
      </c>
      <c r="E68" s="10" t="inlineStr">
        <is>
          <t>Pod lead + Enablement</t>
        </is>
      </c>
      <c r="F68" t="b">
        <v>0</v>
      </c>
    </row>
    <row r="69">
      <c r="A69" t="inlineStr">
        <is>
          <t>Week 9</t>
        </is>
      </c>
      <c r="B69" s="15">
        <f>IF($B$5="","",$B$5+60)</f>
        <v/>
      </c>
      <c r="C69" s="10" t="inlineStr">
        <is>
          <t>Day 60 review: pipeline, activity &amp; ramp check</t>
        </is>
      </c>
      <c r="D69" t="inlineStr">
        <is>
          <t>Practice</t>
        </is>
      </c>
      <c r="E69" s="10" t="inlineStr">
        <is>
          <t>Line manager</t>
        </is>
      </c>
      <c r="F69" t="b">
        <v>0</v>
      </c>
    </row>
    <row r="70">
      <c r="A70" t="inlineStr">
        <is>
          <t>Week 10</t>
        </is>
      </c>
      <c r="B70" s="15">
        <f>IF($B$5="","",$B$5+67)</f>
        <v/>
      </c>
      <c r="C70" s="10" t="inlineStr">
        <is>
          <t>Propose Masterclass</t>
        </is>
      </c>
      <c r="D70" t="inlineStr">
        <is>
          <t>Live</t>
        </is>
      </c>
      <c r="E70" s="10" t="inlineStr">
        <is>
          <t>Enablement</t>
        </is>
      </c>
      <c r="F70" t="b">
        <v>0</v>
      </c>
    </row>
    <row r="71">
      <c r="A71" t="inlineStr">
        <is>
          <t>Week 10</t>
        </is>
      </c>
      <c r="B71" s="15">
        <f>IF($B$5="","",$B$5+67)</f>
        <v/>
      </c>
      <c r="C71" s="10" t="inlineStr">
        <is>
          <t>Pricing guidance &amp; take rate</t>
        </is>
      </c>
      <c r="D71" t="inlineStr">
        <is>
          <t>Live</t>
        </is>
      </c>
      <c r="E71" s="10" t="inlineStr">
        <is>
          <t>Jim Cho + Francesco Falcone</t>
        </is>
      </c>
      <c r="F71" t="b">
        <v>0</v>
      </c>
    </row>
    <row r="72">
      <c r="A72" t="inlineStr">
        <is>
          <t>Week 10</t>
        </is>
      </c>
      <c r="B72" s="15">
        <f>IF($B$5="","",$B$5+67)</f>
        <v/>
      </c>
      <c r="C72" s="10" t="inlineStr">
        <is>
          <t>Pricing calculator walk-through (real deal example)</t>
        </is>
      </c>
      <c r="D72" t="inlineStr">
        <is>
          <t>Live</t>
        </is>
      </c>
      <c r="E72" s="10" t="inlineStr">
        <is>
          <t>Jim Cho</t>
        </is>
      </c>
      <c r="F72" t="b">
        <v>0</v>
      </c>
    </row>
    <row r="73">
      <c r="A73" t="inlineStr">
        <is>
          <t>Week 10</t>
        </is>
      </c>
      <c r="B73" s="15">
        <f>IF($B$5="","",$B$5+67)</f>
        <v/>
      </c>
      <c r="C73" s="10" t="inlineStr">
        <is>
          <t>AFT/OCT pricing calculator walk-through</t>
        </is>
      </c>
      <c r="D73" t="inlineStr">
        <is>
          <t>Live</t>
        </is>
      </c>
      <c r="E73" s="10" t="inlineStr">
        <is>
          <t>Vladimir Sterenko</t>
        </is>
      </c>
      <c r="F73" t="b">
        <v>0</v>
      </c>
    </row>
    <row r="74">
      <c r="A74" t="inlineStr">
        <is>
          <t>Week 10</t>
        </is>
      </c>
      <c r="B74" s="15">
        <f>IF($B$5="","",$B$5+67)</f>
        <v/>
      </c>
      <c r="C74" s="10" t="inlineStr">
        <is>
          <t>RevWay 8–9: Propose &amp; Presentation Skills</t>
        </is>
      </c>
      <c r="D74" t="inlineStr">
        <is>
          <t>Self-paced</t>
        </is>
      </c>
      <c r="E74" s="10" t="inlineStr">
        <is>
          <t>Self-directed</t>
        </is>
      </c>
      <c r="F74" t="b">
        <v>0</v>
      </c>
    </row>
    <row r="75">
      <c r="A75" t="inlineStr">
        <is>
          <t>Week 11</t>
        </is>
      </c>
      <c r="B75" s="15">
        <f>IF($B$5="","",$B$5+74)</f>
        <v/>
      </c>
      <c r="C75" s="10" t="inlineStr">
        <is>
          <t>Payments economics: interchange++, fee &amp; cost analysis</t>
        </is>
      </c>
      <c r="D75" t="inlineStr">
        <is>
          <t>Live</t>
        </is>
      </c>
      <c r="E75" s="10" t="inlineStr">
        <is>
          <t>Deal Management + Solutions Engineering</t>
        </is>
      </c>
      <c r="F75" t="b">
        <v>0</v>
      </c>
    </row>
    <row r="76">
      <c r="A76" t="inlineStr">
        <is>
          <t>Week 11</t>
        </is>
      </c>
      <c r="B76" s="15">
        <f>IF($B$5="","",$B$5+74)</f>
        <v/>
      </c>
      <c r="C76" s="10" t="inlineStr">
        <is>
          <t>Trade, deal structure &amp; negotiation case studies</t>
        </is>
      </c>
      <c r="D76" t="inlineStr">
        <is>
          <t>Live</t>
        </is>
      </c>
      <c r="E76" s="10" t="inlineStr">
        <is>
          <t>Pod lead (TBD)</t>
        </is>
      </c>
      <c r="F76" t="b">
        <v>0</v>
      </c>
    </row>
    <row r="77">
      <c r="A77" t="inlineStr">
        <is>
          <t>Week 11</t>
        </is>
      </c>
      <c r="B77" s="15">
        <f>IF($B$5="","",$B$5+74)</f>
        <v/>
      </c>
      <c r="C77" s="10" t="inlineStr">
        <is>
          <t>Underwriting from the UW lens + MAF &amp; questionnaires</t>
        </is>
      </c>
      <c r="D77" t="inlineStr">
        <is>
          <t>Live</t>
        </is>
      </c>
      <c r="E77" s="10" t="inlineStr">
        <is>
          <t>Jarett Israel + Rithvik Nair</t>
        </is>
      </c>
      <c r="F77" t="b">
        <v>0</v>
      </c>
    </row>
    <row r="78">
      <c r="A78" t="inlineStr">
        <is>
          <t>Week 11</t>
        </is>
      </c>
      <c r="B78" s="15">
        <f>IF($B$5="","",$B$5+74)</f>
        <v/>
      </c>
      <c r="C78" s="10" t="inlineStr">
        <is>
          <t>Objection handling drill + RevWay 10</t>
        </is>
      </c>
      <c r="D78" t="inlineStr">
        <is>
          <t>Practice</t>
        </is>
      </c>
      <c r="E78" s="10" t="inlineStr">
        <is>
          <t>Enablement</t>
        </is>
      </c>
      <c r="F78" t="b">
        <v>0</v>
      </c>
    </row>
    <row r="79">
      <c r="A79" t="inlineStr">
        <is>
          <t>Week 12</t>
        </is>
      </c>
      <c r="B79" s="15">
        <f>IF($B$5="","",$B$5+81)</f>
        <v/>
      </c>
      <c r="C79" s="10" t="inlineStr">
        <is>
          <t>How to ramp a merchant: what happens after 'yes'</t>
        </is>
      </c>
      <c r="D79" t="inlineStr">
        <is>
          <t>Live</t>
        </is>
      </c>
      <c r="E79" s="10" t="inlineStr">
        <is>
          <t>Nicholas Schaffer</t>
        </is>
      </c>
      <c r="F79" t="b">
        <v>0</v>
      </c>
    </row>
    <row r="80">
      <c r="A80" t="inlineStr">
        <is>
          <t>Week 12</t>
        </is>
      </c>
      <c r="B80" s="15">
        <f>IF($B$5="","",$B$5+81)</f>
        <v/>
      </c>
      <c r="C80" s="10" t="inlineStr">
        <is>
          <t>QBR walk-through</t>
        </is>
      </c>
      <c r="D80" t="inlineStr">
        <is>
          <t>Live</t>
        </is>
      </c>
      <c r="E80" s="10" t="inlineStr">
        <is>
          <t>Perrin Heyka</t>
        </is>
      </c>
      <c r="F80" t="b">
        <v>0</v>
      </c>
    </row>
    <row r="81">
      <c r="A81" t="inlineStr">
        <is>
          <t>Week 12</t>
        </is>
      </c>
      <c r="B81" s="15">
        <f>IF($B$5="","",$B$5+81)</f>
        <v/>
      </c>
      <c r="C81" s="10" t="inlineStr">
        <is>
          <t>MBO, quota mechanics &amp; your path to quota</t>
        </is>
      </c>
      <c r="D81" t="inlineStr">
        <is>
          <t>Live</t>
        </is>
      </c>
      <c r="E81" s="10" t="inlineStr">
        <is>
          <t>Francesco Falcone + Jim Cho</t>
        </is>
      </c>
      <c r="F81" t="b">
        <v>0</v>
      </c>
    </row>
    <row r="82">
      <c r="A82" t="inlineStr">
        <is>
          <t>Week 12</t>
        </is>
      </c>
      <c r="B82" s="15">
        <f>IF($B$5="","",$B$5+81)</f>
        <v/>
      </c>
      <c r="C82" s="10" t="inlineStr">
        <is>
          <t>Working with Marketing &amp; the Strategic Accounts Team</t>
        </is>
      </c>
      <c r="D82" t="inlineStr">
        <is>
          <t>Live</t>
        </is>
      </c>
      <c r="E82" s="10" t="inlineStr">
        <is>
          <t>Marketing + Cyril Chemla</t>
        </is>
      </c>
      <c r="F82" t="b">
        <v>0</v>
      </c>
    </row>
    <row r="83">
      <c r="A83" t="inlineStr">
        <is>
          <t>Week 13</t>
        </is>
      </c>
      <c r="B83" s="15">
        <f>IF($B$5="","",$B$5+88)</f>
        <v/>
      </c>
      <c r="C83" s="10" t="inlineStr">
        <is>
          <t>Storyline workshop: building a Checkout pitch deck</t>
        </is>
      </c>
      <c r="D83" t="inlineStr">
        <is>
          <t>Live</t>
        </is>
      </c>
      <c r="E83" s="10" t="inlineStr">
        <is>
          <t>Enablement + Product Marketing</t>
        </is>
      </c>
      <c r="F83" t="b">
        <v>0</v>
      </c>
    </row>
    <row r="84">
      <c r="A84" t="inlineStr">
        <is>
          <t>Week 13</t>
        </is>
      </c>
      <c r="B84" s="15">
        <f>IF($B$5="","",$B$5+88)</f>
        <v/>
      </c>
      <c r="C84" s="10" t="inlineStr">
        <is>
          <t>Business case lab: quantify the value</t>
        </is>
      </c>
      <c r="D84" t="inlineStr">
        <is>
          <t>Practice</t>
        </is>
      </c>
      <c r="E84" s="10" t="inlineStr">
        <is>
          <t>Solutions Engineering + Deal Management</t>
        </is>
      </c>
      <c r="F84" t="b">
        <v>0</v>
      </c>
    </row>
    <row r="85">
      <c r="A85" t="inlineStr">
        <is>
          <t>Week 13</t>
        </is>
      </c>
      <c r="B85" s="15">
        <f>IF($B$5="","",$B$5+88)</f>
        <v/>
      </c>
      <c r="C85" s="10" t="inlineStr">
        <is>
          <t>Deck peer review &amp; dry run</t>
        </is>
      </c>
      <c r="D85" t="inlineStr">
        <is>
          <t>Practice</t>
        </is>
      </c>
      <c r="E85" s="10" t="inlineStr">
        <is>
          <t>Buddy + pod</t>
        </is>
      </c>
      <c r="F85" t="b">
        <v>0</v>
      </c>
    </row>
    <row r="86">
      <c r="A86" t="inlineStr">
        <is>
          <t>Week 13</t>
        </is>
      </c>
      <c r="B86" s="15">
        <f>IF($B$5="","",$B$5+88)</f>
        <v/>
      </c>
      <c r="C86" s="10" t="inlineStr">
        <is>
          <t>★ Pitch Deck Certification</t>
        </is>
      </c>
      <c r="D86" t="inlineStr">
        <is>
          <t>Certification</t>
        </is>
      </c>
      <c r="E86" s="10" t="inlineStr">
        <is>
          <t>Panel: pod lead, SE, Enablement, guest leader</t>
        </is>
      </c>
      <c r="F86" t="b">
        <v>0</v>
      </c>
    </row>
    <row r="87">
      <c r="A87" t="inlineStr">
        <is>
          <t>Week 13</t>
        </is>
      </c>
      <c r="B87" s="15">
        <f>IF($B$5="","",$B$5+88)</f>
        <v/>
      </c>
      <c r="C87" s="10" t="inlineStr">
        <is>
          <t>Day 90 review &amp; graduation to everboarding</t>
        </is>
      </c>
      <c r="D87" t="inlineStr">
        <is>
          <t>Practice</t>
        </is>
      </c>
      <c r="E87" s="10" t="inlineStr">
        <is>
          <t>Line manager + Enablement</t>
        </is>
      </c>
      <c r="F87" t="b">
        <v>0</v>
      </c>
    </row>
  </sheetData>
  <conditionalFormatting sqref="A9:G87">
    <cfRule type="expression" priority="1" dxfId="0">
      <formula>$F9=TRUE</formula>
    </cfRule>
  </conditionalFormatting>
  <dataValidations count="1">
    <dataValidation sqref="F9:F87" showDropDown="0" showInputMessage="0" showErrorMessage="0" allowBlank="0" type="list">
      <formula1>"TRUE,FALSE"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1"/>
  <sheetViews>
    <sheetView workbookViewId="0">
      <pane ySplit="3" topLeftCell="A4" activePane="bottomLeft" state="frozen"/>
      <selection pane="bottomLeft" activeCell="A1" sqref="A1"/>
    </sheetView>
  </sheetViews>
  <sheetFormatPr baseColWidth="8" defaultRowHeight="15"/>
  <cols>
    <col width="9" customWidth="1" min="1" max="1"/>
    <col width="40" customWidth="1" min="2" max="2"/>
    <col width="40" customWidth="1" min="3" max="3"/>
    <col width="8" customWidth="1" min="4" max="4"/>
  </cols>
  <sheetData>
    <row r="1">
      <c r="A1" s="2" t="inlineStr">
        <is>
          <t>Aim to finish within your first month. Adapted from the NY Sales Class repository and Karlie Chen's tracker; update names per cohort.</t>
        </is>
      </c>
    </row>
    <row r="3">
      <c r="A3" s="3" t="inlineStr">
        <is>
          <t>Priority</t>
        </is>
      </c>
      <c r="B3" s="3" t="inlineStr">
        <is>
          <t>Name</t>
        </is>
      </c>
      <c r="C3" s="3" t="inlineStr">
        <is>
          <t>Why</t>
        </is>
      </c>
      <c r="D3" s="3" t="inlineStr">
        <is>
          <t>Met?</t>
        </is>
      </c>
    </row>
    <row r="4">
      <c r="A4" s="5" t="inlineStr">
        <is>
          <t>P0</t>
        </is>
      </c>
      <c r="B4" s="5" t="inlineStr">
        <is>
          <t>Line manager &amp; buddy</t>
        </is>
      </c>
      <c r="C4" s="5" t="inlineStr">
        <is>
          <t>Your manager and day-to-day guide</t>
        </is>
      </c>
      <c r="D4" s="5" t="b">
        <v>0</v>
      </c>
    </row>
    <row r="5">
      <c r="A5" s="5" t="inlineStr">
        <is>
          <t>P0</t>
        </is>
      </c>
      <c r="B5" s="5" t="inlineStr">
        <is>
          <t>Jim Cho</t>
        </is>
      </c>
      <c r="C5" s="5" t="inlineStr">
        <is>
          <t>VP Sales</t>
        </is>
      </c>
      <c r="D5" s="5" t="b">
        <v>0</v>
      </c>
    </row>
    <row r="6">
      <c r="A6" s="5" t="inlineStr">
        <is>
          <t>P1</t>
        </is>
      </c>
      <c r="B6" s="5" t="inlineStr">
        <is>
          <t>Michel Tornabene</t>
        </is>
      </c>
      <c r="C6" s="5" t="inlineStr">
        <is>
          <t>Revenue Enablement</t>
        </is>
      </c>
      <c r="D6" s="5" t="b">
        <v>0</v>
      </c>
    </row>
    <row r="7">
      <c r="A7" s="5" t="inlineStr">
        <is>
          <t>P1</t>
        </is>
      </c>
      <c r="B7" s="5" t="inlineStr">
        <is>
          <t>Zack Levine</t>
        </is>
      </c>
      <c r="C7" s="5" t="inlineStr">
        <is>
          <t>NORAM GM</t>
        </is>
      </c>
      <c r="D7" s="5" t="b">
        <v>0</v>
      </c>
    </row>
    <row r="8">
      <c r="A8" s="5" t="inlineStr">
        <is>
          <t>P1</t>
        </is>
      </c>
      <c r="B8" s="5" t="inlineStr">
        <is>
          <t>Faith Bergman</t>
        </is>
      </c>
      <c r="C8" s="5" t="inlineStr">
        <is>
          <t>Deal Management lead</t>
        </is>
      </c>
      <c r="D8" s="5" t="b">
        <v>0</v>
      </c>
    </row>
    <row r="9">
      <c r="A9" s="5" t="inlineStr">
        <is>
          <t>P1</t>
        </is>
      </c>
      <c r="B9" s="5" t="inlineStr">
        <is>
          <t>Rithvik Nair</t>
        </is>
      </c>
      <c r="C9" s="5" t="inlineStr">
        <is>
          <t>Your Deal Management contact</t>
        </is>
      </c>
      <c r="D9" s="5" t="b">
        <v>0</v>
      </c>
    </row>
    <row r="10">
      <c r="A10" s="5" t="inlineStr">
        <is>
          <t>P1</t>
        </is>
      </c>
      <c r="B10" s="5" t="inlineStr">
        <is>
          <t>Sandra Suen</t>
        </is>
      </c>
      <c r="C10" s="5" t="inlineStr">
        <is>
          <t>BDR lead + RevOps strategy</t>
        </is>
      </c>
      <c r="D10" s="5" t="b">
        <v>0</v>
      </c>
    </row>
    <row r="11">
      <c r="A11" s="5" t="inlineStr">
        <is>
          <t>P1</t>
        </is>
      </c>
      <c r="B11" s="5" t="inlineStr">
        <is>
          <t>Jarett Israel + team</t>
        </is>
      </c>
      <c r="C11" s="5" t="inlineStr">
        <is>
          <t>Underwriting</t>
        </is>
      </c>
      <c r="D11" s="5" t="b">
        <v>0</v>
      </c>
    </row>
    <row r="12">
      <c r="A12" s="5" t="inlineStr">
        <is>
          <t>P1</t>
        </is>
      </c>
      <c r="B12" s="5" t="inlineStr">
        <is>
          <t>Jaime Yeager / Louis Taupin / Luke Brauer</t>
        </is>
      </c>
      <c r="C12" s="5" t="inlineStr">
        <is>
          <t>Pod leaders (ATL / SF / NY)</t>
        </is>
      </c>
      <c r="D12" s="5" t="b">
        <v>0</v>
      </c>
    </row>
    <row r="13">
      <c r="A13" s="5" t="inlineStr">
        <is>
          <t>P1</t>
        </is>
      </c>
      <c r="B13" s="5" t="inlineStr">
        <is>
          <t>Matt Baum, Mike O'Connor &amp; Ezra Cohen</t>
        </is>
      </c>
      <c r="C13" s="5" t="inlineStr">
        <is>
          <t>Financial Partnerships</t>
        </is>
      </c>
      <c r="D13" s="5" t="b">
        <v>0</v>
      </c>
    </row>
    <row r="14">
      <c r="A14" s="5" t="inlineStr">
        <is>
          <t>P1</t>
        </is>
      </c>
      <c r="B14" s="5" t="inlineStr">
        <is>
          <t>Cyril Chemla</t>
        </is>
      </c>
      <c r="C14" s="5" t="inlineStr">
        <is>
          <t>Strategic Accounts Team</t>
        </is>
      </c>
      <c r="D14" s="5" t="b">
        <v>0</v>
      </c>
    </row>
    <row r="15">
      <c r="A15" s="5" t="inlineStr">
        <is>
          <t>P2</t>
        </is>
      </c>
      <c r="B15" s="5" t="inlineStr">
        <is>
          <t>Michael Taylor</t>
        </is>
      </c>
      <c r="C15" s="5" t="inlineStr">
        <is>
          <t>TAM &amp; SE lead</t>
        </is>
      </c>
      <c r="D15" s="5" t="b">
        <v>0</v>
      </c>
    </row>
    <row r="16">
      <c r="A16" s="5" t="inlineStr">
        <is>
          <t>P2</t>
        </is>
      </c>
      <c r="B16" s="5" t="inlineStr">
        <is>
          <t>Jeff Schmidt</t>
        </is>
      </c>
      <c r="C16" s="5" t="inlineStr">
        <is>
          <t>Sales Engineering lead</t>
        </is>
      </c>
      <c r="D16" s="5" t="b">
        <v>0</v>
      </c>
    </row>
    <row r="17">
      <c r="A17" s="5" t="inlineStr">
        <is>
          <t>P2</t>
        </is>
      </c>
      <c r="B17" s="5" t="inlineStr">
        <is>
          <t>Adam Manassero / Perrin Heyka</t>
        </is>
      </c>
      <c r="C17" s="5" t="inlineStr">
        <is>
          <t>Account Management</t>
        </is>
      </c>
      <c r="D17" s="5" t="b">
        <v>0</v>
      </c>
    </row>
    <row r="18">
      <c r="A18" s="5" t="inlineStr">
        <is>
          <t>P2</t>
        </is>
      </c>
      <c r="B18" s="5" t="inlineStr">
        <is>
          <t>Ginny Huber / Phoebe Caine</t>
        </is>
      </c>
      <c r="C18" s="5" t="inlineStr">
        <is>
          <t>Partnerships</t>
        </is>
      </c>
      <c r="D18" s="5" t="b">
        <v>0</v>
      </c>
    </row>
    <row r="19">
      <c r="A19" s="5" t="inlineStr">
        <is>
          <t>P2</t>
        </is>
      </c>
      <c r="B19" s="5" t="inlineStr">
        <is>
          <t>Marketing team</t>
        </is>
      </c>
      <c r="C19" s="5" t="inlineStr">
        <is>
          <t>Local marketing</t>
        </is>
      </c>
      <c r="D19" s="5" t="b">
        <v>0</v>
      </c>
    </row>
    <row r="20">
      <c r="A20" s="5" t="inlineStr">
        <is>
          <t>P2</t>
        </is>
      </c>
      <c r="B20" s="5" t="inlineStr">
        <is>
          <t>Max Totilo</t>
        </is>
      </c>
      <c r="C20" s="5" t="inlineStr">
        <is>
          <t>US Compliance</t>
        </is>
      </c>
      <c r="D20" s="5" t="b">
        <v>0</v>
      </c>
    </row>
    <row r="21">
      <c r="A21" s="5" t="inlineStr">
        <is>
          <t>P3</t>
        </is>
      </c>
      <c r="B21" s="5" t="inlineStr">
        <is>
          <t>Sam Boukhiam</t>
        </is>
      </c>
      <c r="C21" s="5" t="inlineStr">
        <is>
          <t>Top rep: tips &amp; tricks</t>
        </is>
      </c>
      <c r="D21" s="5" t="b">
        <v>0</v>
      </c>
    </row>
  </sheetData>
  <autoFilter ref="A3: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2026-10-01T19:21:16Z</dcterms:created>
  <dcterms:modified xsi:type="dcterms:W3CDTF">2026-10-01T19:21:16Z</dcterms:modified>
</cp:coreProperties>
</file>