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gramme" sheetId="1" state="visible" r:id="rId1"/>
    <sheet name="Build Plan" sheetId="2" state="visible" r:id="rId2"/>
    <sheet name="Explore Call Cert" sheetId="3" state="visible" r:id="rId3"/>
    <sheet name="Pitch Deck Cert" sheetId="4" state="visible" r:id="rId4"/>
    <sheet name="New Hire Tracker" sheetId="5" state="visible" r:id="rId5"/>
    <sheet name="Who to Meet" sheetId="6" state="visible" r:id="rId6"/>
  </sheets>
  <definedNames>
    <definedName name="_xlnm._FilterDatabase" localSheetId="0" hidden="1">'Programme'!$A$9:$O$112</definedName>
    <definedName name="_xlnm._FilterDatabase" localSheetId="1" hidden="1">'Build Plan'!$A$9:$J$57</definedName>
    <definedName name="_xlnm._FilterDatabase" localSheetId="5" hidden="1">'Who to Meet'!$A$7:$D$17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d d mmm yyyy"/>
    <numFmt numFmtId="166" formatCode="ddd d mmm"/>
  </numFmts>
  <fonts count="8">
    <font>
      <name val="Calibri"/>
      <family val="2"/>
      <color theme="1"/>
      <sz val="11"/>
      <scheme val="minor"/>
    </font>
    <font>
      <b val="1"/>
      <color rgb="000B1F3A"/>
      <sz val="16"/>
    </font>
    <font>
      <i val="1"/>
      <color rgb="0052514E"/>
    </font>
    <font>
      <b val="1"/>
      <color rgb="000B1F3A"/>
      <sz val="12"/>
    </font>
    <font>
      <b val="1"/>
      <color rgb="0052514E"/>
    </font>
    <font>
      <b val="1"/>
      <color rgb="00FFFFFF"/>
    </font>
    <font>
      <b val="1"/>
    </font>
    <font>
      <b val="1"/>
      <color rgb="000B1F3A"/>
    </font>
  </fonts>
  <fills count="6">
    <fill>
      <patternFill/>
    </fill>
    <fill>
      <patternFill patternType="gray125"/>
    </fill>
    <fill>
      <patternFill patternType="solid">
        <fgColor rgb="00F0EFEC"/>
      </patternFill>
    </fill>
    <fill>
      <patternFill patternType="solid">
        <fgColor rgb="000B1F3A"/>
      </patternFill>
    </fill>
    <fill>
      <patternFill patternType="solid">
        <fgColor rgb="002A78D6"/>
      </patternFill>
    </fill>
    <fill>
      <patternFill patternType="solid">
        <fgColor rgb="00EAF2FC"/>
      </patternFill>
    </fill>
  </fills>
  <borders count="2">
    <border>
      <left/>
      <right/>
      <top/>
      <bottom/>
      <diagonal/>
    </border>
    <border>
      <bottom style="thin">
        <color rgb="00D9D9D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2" borderId="0" applyAlignment="1" pivotButton="0" quotePrefix="0" xfId="0">
      <alignment horizontal="left" vertical="top" wrapText="1"/>
    </xf>
    <xf numFmtId="0" fontId="0" fillId="2" borderId="0" pivotButton="0" quotePrefix="0" xfId="0"/>
    <xf numFmtId="0" fontId="5" fillId="3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5" fillId="3" borderId="0" pivotButton="0" quotePrefix="0" xfId="0"/>
    <xf numFmtId="9" fontId="7" fillId="2" borderId="0" pivotButton="0" quotePrefix="0" xfId="0"/>
    <xf numFmtId="164" fontId="0" fillId="0" borderId="0" pivotButton="0" quotePrefix="0" xfId="0"/>
    <xf numFmtId="165" fontId="7" fillId="2" borderId="0" pivotButton="0" quotePrefix="0" xfId="0"/>
    <xf numFmtId="166" fontId="0" fillId="0" borderId="0" pivotButton="0" quotePrefix="0" xfId="0"/>
    <xf numFmtId="0" fontId="3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4">
    <dxf>
      <fill>
        <patternFill patternType="solid">
          <fgColor rgb="00DFF3DF"/>
        </patternFill>
      </fill>
    </dxf>
    <dxf>
      <fill>
        <patternFill patternType="solid">
          <fgColor rgb="00FDF0CF"/>
        </patternFill>
      </fill>
    </dxf>
    <dxf>
      <fill>
        <patternFill patternType="solid">
          <fgColor rgb="00F8DCDC"/>
        </patternFill>
      </fill>
    </dxf>
    <dxf>
      <font>
        <b val="1"/>
        <color rgb="000B1F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2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9" customWidth="1" min="3" max="3"/>
    <col width="46" customWidth="1" min="4" max="4"/>
    <col width="46" customWidth="1" min="5" max="5"/>
    <col width="13" customWidth="1" min="6" max="6"/>
    <col width="9" customWidth="1" min="7" max="7"/>
    <col width="26" customWidth="1" min="8" max="8"/>
    <col width="14" customWidth="1" min="9" max="9"/>
    <col width="15" customWidth="1" min="10" max="10"/>
    <col width="50" customWidth="1" min="11" max="11"/>
    <col width="12" customWidth="1" min="12" max="12"/>
    <col width="9" customWidth="1" min="13" max="13"/>
    <col width="14" customWidth="1" min="14" max="14"/>
    <col width="40" customWidth="1" min="15" max="15"/>
  </cols>
  <sheetData>
    <row r="1">
      <c r="A1" s="1" t="inlineStr">
        <is>
          <t>NORAM Account Executive Onboarding: Programme</t>
        </is>
      </c>
    </row>
    <row r="2">
      <c r="A2" s="2" t="inlineStr">
        <is>
          <t>90 working days from Day 1 to a winning proposal, built for selling payments at Checkout.com · v2 draft, October 2026 · Days are working days</t>
        </is>
      </c>
    </row>
    <row r="3">
      <c r="A3" s="3" t="inlineStr">
        <is>
          <t>Leadership summary</t>
        </is>
      </c>
    </row>
    <row r="4">
      <c r="A4" s="4" t="inlineStr">
        <is>
          <t>Sessions</t>
        </is>
      </c>
      <c r="B4" s="5">
        <f>COUNTA($D$10:$D$112)</f>
        <v/>
      </c>
      <c r="C4" s="4" t="inlineStr">
        <is>
          <t>Ready today</t>
        </is>
      </c>
      <c r="D4" s="5">
        <f>COUNTIF($I$10:$I$112,"Ready today")</f>
        <v/>
      </c>
      <c r="E4" s="4" t="inlineStr">
        <is>
          <t>Needs refresh</t>
        </is>
      </c>
      <c r="F4" s="5">
        <f>COUNTIF($I$10:$I$112,"Needs refresh")</f>
        <v/>
      </c>
      <c r="G4" s="6" t="n"/>
      <c r="H4" s="6" t="n"/>
      <c r="I4" s="6" t="n"/>
      <c r="J4" s="6" t="n"/>
      <c r="K4" s="6" t="n"/>
      <c r="L4" s="6" t="n"/>
      <c r="M4" s="6" t="n"/>
      <c r="N4" s="6" t="n"/>
      <c r="O4" s="6" t="n"/>
    </row>
    <row r="5">
      <c r="A5" s="4" t="inlineStr">
        <is>
          <t>To build</t>
        </is>
      </c>
      <c r="B5" s="5">
        <f>COUNTIF($I$10:$I$112,"To build")</f>
        <v/>
      </c>
      <c r="C5" s="4" t="inlineStr">
        <is>
          <t>Days 1–30: to build</t>
        </is>
      </c>
      <c r="D5" s="5">
        <f>COUNTIFS($A$10:$A$112,"Days 1–30",$I$10:$I$112,"To build")</f>
        <v/>
      </c>
      <c r="E5" s="4" t="inlineStr">
        <is>
          <t>Milestones</t>
        </is>
      </c>
      <c r="F5" s="5" t="inlineStr">
        <is>
          <t>Day 25 Explore Call Certification (Week 5 Fri) · Day 30 Pitch Deck Certification (Week 6 Fri) · Day 60 Follow the Flow (Week 12 Wed) · Day 90 Deal Room (Week 18 Wed)</t>
        </is>
      </c>
    </row>
    <row r="9">
      <c r="A9" s="7" t="inlineStr">
        <is>
          <t>Block</t>
        </is>
      </c>
      <c r="B9" s="7" t="inlineStr">
        <is>
          <t>When</t>
        </is>
      </c>
      <c r="C9" s="7" t="inlineStr">
        <is>
          <t>Working day</t>
        </is>
      </c>
      <c r="D9" s="7" t="inlineStr">
        <is>
          <t>Session</t>
        </is>
      </c>
      <c r="E9" s="7" t="inlineStr">
        <is>
          <t>After this, the AE can…</t>
        </is>
      </c>
      <c r="F9" s="7" t="inlineStr">
        <is>
          <t>Format</t>
        </is>
      </c>
      <c r="G9" s="7" t="inlineStr">
        <is>
          <t>Minutes</t>
        </is>
      </c>
      <c r="H9" s="7" t="inlineStr">
        <is>
          <t>Owner</t>
        </is>
      </c>
      <c r="I9" s="7" t="inlineStr">
        <is>
          <t>Status</t>
        </is>
      </c>
      <c r="J9" s="7" t="inlineStr">
        <is>
          <t>Milestone / stack</t>
        </is>
      </c>
      <c r="K9" s="7" t="inlineStr">
        <is>
          <t>Notes &amp; next step</t>
        </is>
      </c>
      <c r="L9" s="7" t="inlineStr">
        <is>
          <t>Catalogue ID</t>
        </is>
      </c>
      <c r="M9" s="7" t="inlineStr">
        <is>
          <t>Also for BDR</t>
        </is>
      </c>
      <c r="N9" s="8" t="inlineStr">
        <is>
          <t>Keep / Change / Cut</t>
        </is>
      </c>
      <c r="O9" s="8" t="inlineStr">
        <is>
          <t>Your feedback</t>
        </is>
      </c>
    </row>
    <row r="10">
      <c r="A10" s="9" t="inlineStr">
        <is>
          <t>Before Day 1</t>
        </is>
      </c>
      <c r="B10" s="9" t="inlineStr">
        <is>
          <t>Before Day 1</t>
        </is>
      </c>
      <c r="C10" s="9" t="inlineStr"/>
      <c r="D10" s="9" t="inlineStr">
        <is>
          <t>Welcome pack, 90-day map &amp; personal tracker</t>
        </is>
      </c>
      <c r="E10" s="9" t="inlineStr">
        <is>
          <t>Arrive knowing the path, milestones and who to ask</t>
        </is>
      </c>
      <c r="F10" s="9" t="inlineStr">
        <is>
          <t>Self-paced</t>
        </is>
      </c>
      <c r="G10" s="9" t="n">
        <v>30</v>
      </c>
      <c r="H10" s="9" t="inlineStr">
        <is>
          <t>Enablement</t>
        </is>
      </c>
      <c r="I10" s="9" t="inlineStr">
        <is>
          <t>To build</t>
        </is>
      </c>
      <c r="J10" s="9" t="inlineStr"/>
      <c r="K10" s="9" t="inlineStr">
        <is>
          <t>Send the personal tracker and programme map before Day 1.</t>
        </is>
      </c>
      <c r="L10" s="9" t="inlineStr"/>
      <c r="M10" s="9" t="inlineStr"/>
      <c r="N10" s="10" t="inlineStr"/>
      <c r="O10" s="10" t="inlineStr"/>
    </row>
    <row r="11">
      <c r="A11" s="9" t="inlineStr">
        <is>
          <t>Before Day 1</t>
        </is>
      </c>
      <c r="B11" s="9" t="inlineStr">
        <is>
          <t>Before Day 1</t>
        </is>
      </c>
      <c r="C11" s="9" t="inlineStr"/>
      <c r="D11" s="9" t="inlineStr">
        <is>
          <t>Tool access requested (Salesforce, Clari, Apollo, LinkedIn Sales Nav, Glean)</t>
        </is>
      </c>
      <c r="E11" s="9" t="inlineStr">
        <is>
          <t>Log in to every sales tool on Day 1</t>
        </is>
      </c>
      <c r="F11" s="9" t="inlineStr">
        <is>
          <t>Self-paced</t>
        </is>
      </c>
      <c r="G11" s="9" t="n">
        <v>0</v>
      </c>
      <c r="H11" s="9" t="inlineStr">
        <is>
          <t>Enablement + IT</t>
        </is>
      </c>
      <c r="I11" s="9" t="inlineStr">
        <is>
          <t>Ready today</t>
        </is>
      </c>
      <c r="J11" s="9" t="inlineStr"/>
      <c r="K11" s="9" t="inlineStr">
        <is>
          <t>Automated message in the onboarding channel requests licences on Jira.</t>
        </is>
      </c>
      <c r="L11" s="9" t="inlineStr"/>
      <c r="M11" s="9" t="inlineStr">
        <is>
          <t>Yes</t>
        </is>
      </c>
      <c r="N11" s="10" t="inlineStr"/>
      <c r="O11" s="10" t="inlineStr"/>
    </row>
    <row r="12">
      <c r="A12" s="9" t="inlineStr">
        <is>
          <t>Before Day 1</t>
        </is>
      </c>
      <c r="B12" s="9" t="inlineStr">
        <is>
          <t>Before Day 1</t>
        </is>
      </c>
      <c r="C12" s="9" t="inlineStr"/>
      <c r="D12" s="9" t="inlineStr">
        <is>
          <t>Buddy assigned + manager welcome call</t>
        </is>
      </c>
      <c r="E12" s="9" t="inlineStr">
        <is>
          <t>Know your manager's expectations and your day-to-day buddy</t>
        </is>
      </c>
      <c r="F12" s="9" t="inlineStr">
        <is>
          <t>Live</t>
        </is>
      </c>
      <c r="G12" s="9" t="n">
        <v>30</v>
      </c>
      <c r="H12" s="9" t="inlineStr">
        <is>
          <t>Line manager</t>
        </is>
      </c>
      <c r="I12" s="9" t="inlineStr">
        <is>
          <t>Needs refresh</t>
        </is>
      </c>
      <c r="J12" s="9" t="inlineStr"/>
      <c r="K12" s="9" t="inlineStr">
        <is>
          <t>Formalise buddies with a one-page guide and a weekly 30-minute slot.</t>
        </is>
      </c>
      <c r="L12" s="9" t="inlineStr"/>
      <c r="M12" s="9" t="inlineStr"/>
      <c r="N12" s="10" t="inlineStr"/>
      <c r="O12" s="10" t="inlineStr"/>
    </row>
    <row r="13">
      <c r="A13" s="9" t="inlineStr">
        <is>
          <t>Days 1–30</t>
        </is>
      </c>
      <c r="B13" s="9" t="inlineStr">
        <is>
          <t>Week 1 · Mon</t>
        </is>
      </c>
      <c r="C13" s="9" t="n">
        <v>1</v>
      </c>
      <c r="D13" s="9" t="inlineStr">
        <is>
          <t>IT, People &amp; Benefits inductions</t>
        </is>
      </c>
      <c r="E13" s="9" t="inlineStr">
        <is>
          <t>Have your laptop, accounts and benefits set up</t>
        </is>
      </c>
      <c r="F13" s="9" t="inlineStr">
        <is>
          <t>Live</t>
        </is>
      </c>
      <c r="G13" s="9" t="n">
        <v>180</v>
      </c>
      <c r="H13" s="9" t="inlineStr">
        <is>
          <t>People Team</t>
        </is>
      </c>
      <c r="I13" s="9" t="inlineStr">
        <is>
          <t>Ready today</t>
        </is>
      </c>
      <c r="J13" s="9" t="inlineStr"/>
      <c r="K13" s="9" t="inlineStr"/>
      <c r="L13" s="9" t="inlineStr"/>
      <c r="M13" s="9" t="inlineStr">
        <is>
          <t>Yes</t>
        </is>
      </c>
      <c r="N13" s="10" t="inlineStr"/>
      <c r="O13" s="10" t="inlineStr"/>
    </row>
    <row r="14">
      <c r="A14" s="9" t="inlineStr">
        <is>
          <t>Days 1–30</t>
        </is>
      </c>
      <c r="B14" s="9" t="inlineStr">
        <is>
          <t>Week 1 · Mon</t>
        </is>
      </c>
      <c r="C14" s="9" t="n">
        <v>1</v>
      </c>
      <c r="D14" s="9" t="inlineStr">
        <is>
          <t>Your onboarding plan: 90-day kickoff</t>
        </is>
      </c>
      <c r="E14" s="9" t="inlineStr">
        <is>
          <t>Explain your milestones, certifications and how you'll be supported</t>
        </is>
      </c>
      <c r="F14" s="9" t="inlineStr">
        <is>
          <t>Live</t>
        </is>
      </c>
      <c r="G14" s="9" t="n">
        <v>30</v>
      </c>
      <c r="H14" s="9" t="inlineStr">
        <is>
          <t>Enablement</t>
        </is>
      </c>
      <c r="I14" s="9" t="inlineStr">
        <is>
          <t>Ready today</t>
        </is>
      </c>
      <c r="J14" s="9" t="inlineStr"/>
      <c r="K14" s="9" t="inlineStr"/>
      <c r="L14" s="9" t="inlineStr"/>
      <c r="M14" s="9" t="inlineStr">
        <is>
          <t>Yes</t>
        </is>
      </c>
      <c r="N14" s="10" t="inlineStr"/>
      <c r="O14" s="10" t="inlineStr"/>
    </row>
    <row r="15">
      <c r="A15" s="9" t="inlineStr">
        <is>
          <t>Days 1–30</t>
        </is>
      </c>
      <c r="B15" s="9" t="inlineStr">
        <is>
          <t>Week 1 · Mon</t>
        </is>
      </c>
      <c r="C15" s="9" t="n">
        <v>1</v>
      </c>
      <c r="D15" s="9" t="inlineStr">
        <is>
          <t>Meet your pod + buddy coffee</t>
        </is>
      </c>
      <c r="E15" s="9" t="inlineStr">
        <is>
          <t>Know your pod, your buddy and how the team works</t>
        </is>
      </c>
      <c r="F15" s="9" t="inlineStr">
        <is>
          <t>Practice</t>
        </is>
      </c>
      <c r="G15" s="9" t="n">
        <v>60</v>
      </c>
      <c r="H15" s="9" t="inlineStr">
        <is>
          <t>Pod leader</t>
        </is>
      </c>
      <c r="I15" s="9" t="inlineStr">
        <is>
          <t>Ready today</t>
        </is>
      </c>
      <c r="J15" s="9" t="inlineStr"/>
      <c r="K15" s="9" t="inlineStr"/>
      <c r="L15" s="9" t="inlineStr"/>
      <c r="M15" s="9" t="inlineStr">
        <is>
          <t>Yes</t>
        </is>
      </c>
      <c r="N15" s="10" t="inlineStr"/>
      <c r="O15" s="10" t="inlineStr"/>
    </row>
    <row r="16">
      <c r="A16" s="9" t="inlineStr">
        <is>
          <t>Days 1–30</t>
        </is>
      </c>
      <c r="B16" s="9" t="inlineStr">
        <is>
          <t>Week 1 · Tue</t>
        </is>
      </c>
      <c r="C16" s="9" t="n">
        <v>2</v>
      </c>
      <c r="D16" s="9" t="inlineStr">
        <is>
          <t>Intro to Checkout's Revenue Organisation (NORAM)</t>
        </is>
      </c>
      <c r="E16" s="9" t="inlineStr">
        <is>
          <t>Describe how the revenue org is structured and the sales opportunity cycle</t>
        </is>
      </c>
      <c r="F16" s="9" t="inlineStr">
        <is>
          <t>Live</t>
        </is>
      </c>
      <c r="G16" s="9" t="n">
        <v>60</v>
      </c>
      <c r="H16" s="9" t="inlineStr">
        <is>
          <t>Jasmine Jancsik</t>
        </is>
      </c>
      <c r="I16" s="9" t="inlineStr">
        <is>
          <t>Ready today</t>
        </is>
      </c>
      <c r="J16" s="9" t="inlineStr"/>
      <c r="K16" s="9" t="inlineStr"/>
      <c r="L16" s="9" t="inlineStr">
        <is>
          <t>4</t>
        </is>
      </c>
      <c r="M16" s="9" t="inlineStr">
        <is>
          <t>Yes</t>
        </is>
      </c>
      <c r="N16" s="10" t="inlineStr"/>
      <c r="O16" s="10" t="inlineStr"/>
    </row>
    <row r="17">
      <c r="A17" s="9" t="inlineStr">
        <is>
          <t>Days 1–30</t>
        </is>
      </c>
      <c r="B17" s="9" t="inlineStr">
        <is>
          <t>Week 1 · Tue</t>
        </is>
      </c>
      <c r="C17" s="9" t="n">
        <v>2</v>
      </c>
      <c r="D17" s="9" t="inlineStr">
        <is>
          <t>Regional Intro to Rev Org: NORAM</t>
        </is>
      </c>
      <c r="E17" s="9" t="inlineStr">
        <is>
          <t>Know the NORAM leaders, pods and hubs (NY, ATL, SF)</t>
        </is>
      </c>
      <c r="F17" s="9" t="inlineStr">
        <is>
          <t>Live</t>
        </is>
      </c>
      <c r="G17" s="9" t="n">
        <v>30</v>
      </c>
      <c r="H17" s="9" t="inlineStr">
        <is>
          <t>Jasmine Jancsik</t>
        </is>
      </c>
      <c r="I17" s="9" t="inlineStr">
        <is>
          <t>Ready today</t>
        </is>
      </c>
      <c r="J17" s="9" t="inlineStr"/>
      <c r="K17" s="9" t="inlineStr"/>
      <c r="L17" s="9" t="inlineStr">
        <is>
          <t>13</t>
        </is>
      </c>
      <c r="M17" s="9" t="inlineStr">
        <is>
          <t>Yes</t>
        </is>
      </c>
      <c r="N17" s="10" t="inlineStr"/>
      <c r="O17" s="10" t="inlineStr"/>
    </row>
    <row r="18">
      <c r="A18" s="9" t="inlineStr">
        <is>
          <t>Days 1–30</t>
        </is>
      </c>
      <c r="B18" s="9" t="inlineStr">
        <is>
          <t>Week 1 · Tue</t>
        </is>
      </c>
      <c r="C18" s="9" t="n">
        <v>2</v>
      </c>
      <c r="D18" s="9" t="inlineStr">
        <is>
          <t>Payments at Checkout in 60 minutes</t>
        </is>
      </c>
      <c r="E18" s="9" t="inlineStr">
        <is>
          <t>Tell the story of a card payment, where Checkout earns, and why merchants switch</t>
        </is>
      </c>
      <c r="F18" s="9" t="inlineStr">
        <is>
          <t>Live</t>
        </is>
      </c>
      <c r="G18" s="9" t="n">
        <v>60</v>
      </c>
      <c r="H18" s="9" t="inlineStr">
        <is>
          <t>Enablement + Solutions Engineering</t>
        </is>
      </c>
      <c r="I18" s="9" t="inlineStr">
        <is>
          <t>To build</t>
        </is>
      </c>
      <c r="J18" s="9" t="inlineStr"/>
      <c r="K18" s="9" t="inlineStr">
        <is>
          <t>Story-led primer that complements Payments Academy and gives context before the curriculum starts.</t>
        </is>
      </c>
      <c r="L18" s="9" t="inlineStr"/>
      <c r="M18" s="9" t="inlineStr">
        <is>
          <t>Yes</t>
        </is>
      </c>
      <c r="N18" s="10" t="inlineStr"/>
      <c r="O18" s="10" t="inlineStr"/>
    </row>
    <row r="19">
      <c r="A19" s="9" t="inlineStr">
        <is>
          <t>Days 1–30</t>
        </is>
      </c>
      <c r="B19" s="9" t="inlineStr">
        <is>
          <t>Week 1 · Wed</t>
        </is>
      </c>
      <c r="C19" s="9" t="n">
        <v>3</v>
      </c>
      <c r="D19" s="9" t="inlineStr">
        <is>
          <t>Sales Tools &amp; Chrome Extensions</t>
        </is>
      </c>
      <c r="E19" s="9" t="inlineStr">
        <is>
          <t>Log in and use Groove, Apollo, LinkedIn Sales Nav, SimilarWeb and Wappalyzer</t>
        </is>
      </c>
      <c r="F19" s="9" t="inlineStr">
        <is>
          <t>Live</t>
        </is>
      </c>
      <c r="G19" s="9" t="n">
        <v>90</v>
      </c>
      <c r="H19" s="9" t="inlineStr">
        <is>
          <t>Jasmine Jancsik</t>
        </is>
      </c>
      <c r="I19" s="9" t="inlineStr">
        <is>
          <t>Ready today</t>
        </is>
      </c>
      <c r="J19" s="9" t="inlineStr"/>
      <c r="K19" s="9" t="inlineStr"/>
      <c r="L19" s="9" t="inlineStr">
        <is>
          <t>26</t>
        </is>
      </c>
      <c r="M19" s="9" t="inlineStr">
        <is>
          <t>Yes</t>
        </is>
      </c>
      <c r="N19" s="10" t="inlineStr"/>
      <c r="O19" s="10" t="inlineStr"/>
    </row>
    <row r="20">
      <c r="A20" s="9" t="inlineStr">
        <is>
          <t>Days 1–30</t>
        </is>
      </c>
      <c r="B20" s="9" t="inlineStr">
        <is>
          <t>Week 1 · Wed</t>
        </is>
      </c>
      <c r="C20" s="9" t="n">
        <v>3</v>
      </c>
      <c r="D20" s="9" t="inlineStr">
        <is>
          <t>Finding answers: Drive, Confluence &amp; Glean</t>
        </is>
      </c>
      <c r="E20" s="9" t="inlineStr">
        <is>
          <t>Find any deck, case study or answer in under a minute</t>
        </is>
      </c>
      <c r="F20" s="9" t="inlineStr">
        <is>
          <t>Live</t>
        </is>
      </c>
      <c r="G20" s="9" t="n">
        <v>30</v>
      </c>
      <c r="H20" s="9" t="inlineStr">
        <is>
          <t>Enablement</t>
        </is>
      </c>
      <c r="I20" s="9" t="inlineStr">
        <is>
          <t>Needs refresh</t>
        </is>
      </c>
      <c r="J20" s="9" t="inlineStr"/>
      <c r="K20" s="9" t="inlineStr">
        <is>
          <t>Update for the move away from Highspot to Drive, and for Glean adoption.</t>
        </is>
      </c>
      <c r="L20" s="9" t="inlineStr">
        <is>
          <t>8</t>
        </is>
      </c>
      <c r="M20" s="9" t="inlineStr">
        <is>
          <t>Yes</t>
        </is>
      </c>
      <c r="N20" s="10" t="inlineStr"/>
      <c r="O20" s="10" t="inlineStr"/>
    </row>
    <row r="21">
      <c r="A21" s="9" t="inlineStr">
        <is>
          <t>Days 1–30</t>
        </is>
      </c>
      <c r="B21" s="9" t="inlineStr">
        <is>
          <t>Week 1 · Thu</t>
        </is>
      </c>
      <c r="C21" s="9" t="n">
        <v>4</v>
      </c>
      <c r="D21" s="9" t="inlineStr">
        <is>
          <t>Mandatory compliance training (Spark)</t>
        </is>
      </c>
      <c r="E21" s="9" t="inlineStr">
        <is>
          <t>Complete all mandatory compliance modules</t>
        </is>
      </c>
      <c r="F21" s="9" t="inlineStr">
        <is>
          <t>Self-paced</t>
        </is>
      </c>
      <c r="G21" s="9" t="n">
        <v>180</v>
      </c>
      <c r="H21" s="9" t="inlineStr">
        <is>
          <t>New hire</t>
        </is>
      </c>
      <c r="I21" s="9" t="inlineStr">
        <is>
          <t>Needs refresh</t>
        </is>
      </c>
      <c r="J21" s="9" t="inlineStr"/>
      <c r="K21" s="9" t="inlineStr">
        <is>
          <t>Moving from Nova to Spark.</t>
        </is>
      </c>
      <c r="L21" s="9" t="inlineStr"/>
      <c r="M21" s="9" t="inlineStr">
        <is>
          <t>Yes</t>
        </is>
      </c>
      <c r="N21" s="10" t="inlineStr"/>
      <c r="O21" s="10" t="inlineStr"/>
    </row>
    <row r="22">
      <c r="A22" s="9" t="inlineStr">
        <is>
          <t>Days 1–30</t>
        </is>
      </c>
      <c r="B22" s="9" t="inlineStr">
        <is>
          <t>Week 1 · Thu</t>
        </is>
      </c>
      <c r="C22" s="9" t="n">
        <v>4</v>
      </c>
      <c r="D22" s="9" t="inlineStr">
        <is>
          <t>RevWay 0–1: Intro to Revenue Way &amp; Buyer Psychology</t>
        </is>
      </c>
      <c r="E22" s="9" t="inlineStr">
        <is>
          <t>Explain how buyers make decisions and the Checkout Revenue Way</t>
        </is>
      </c>
      <c r="F22" s="9" t="inlineStr">
        <is>
          <t>Self-paced</t>
        </is>
      </c>
      <c r="G22" s="9" t="n">
        <v>150</v>
      </c>
      <c r="H22" s="9" t="inlineStr">
        <is>
          <t>Self-directed</t>
        </is>
      </c>
      <c r="I22" s="9" t="inlineStr">
        <is>
          <t>Ready today</t>
        </is>
      </c>
      <c r="J22" s="9" t="inlineStr"/>
      <c r="K22" s="9" t="inlineStr"/>
      <c r="L22" s="9" t="inlineStr"/>
      <c r="M22" s="9" t="inlineStr">
        <is>
          <t>Yes</t>
        </is>
      </c>
      <c r="N22" s="10" t="inlineStr"/>
      <c r="O22" s="10" t="inlineStr"/>
    </row>
    <row r="23">
      <c r="A23" s="9" t="inlineStr">
        <is>
          <t>Days 1–30</t>
        </is>
      </c>
      <c r="B23" s="9" t="inlineStr">
        <is>
          <t>Week 1 · Fri</t>
        </is>
      </c>
      <c r="C23" s="9" t="n">
        <v>5</v>
      </c>
      <c r="D23" s="9" t="inlineStr">
        <is>
          <t>Office hours with the NORAM GM</t>
        </is>
      </c>
      <c r="E23" s="9" t="inlineStr">
        <is>
          <t>Hear the NORAM vision and ask leadership anything</t>
        </is>
      </c>
      <c r="F23" s="9" t="inlineStr">
        <is>
          <t>Live</t>
        </is>
      </c>
      <c r="G23" s="9" t="n">
        <v>30</v>
      </c>
      <c r="H23" s="9" t="inlineStr">
        <is>
          <t>Zack Levine</t>
        </is>
      </c>
      <c r="I23" s="9" t="inlineStr">
        <is>
          <t>Ready today</t>
        </is>
      </c>
      <c r="J23" s="9" t="inlineStr"/>
      <c r="K23" s="9" t="inlineStr"/>
      <c r="L23" s="9" t="inlineStr"/>
      <c r="M23" s="9" t="inlineStr">
        <is>
          <t>Yes</t>
        </is>
      </c>
      <c r="N23" s="10" t="inlineStr"/>
      <c r="O23" s="10" t="inlineStr"/>
    </row>
    <row r="24">
      <c r="A24" s="9" t="inlineStr">
        <is>
          <t>Days 1–30</t>
        </is>
      </c>
      <c r="B24" s="9" t="inlineStr">
        <is>
          <t>Week 1 · Fri</t>
        </is>
      </c>
      <c r="C24" s="9" t="n">
        <v>5</v>
      </c>
      <c r="D24" s="9" t="inlineStr">
        <is>
          <t>Friday knowledge check (Kahoot), runs weekly</t>
        </is>
      </c>
      <c r="E24" s="9" t="inlineStr">
        <is>
          <t>Check what stuck this week, with pod leads</t>
        </is>
      </c>
      <c r="F24" s="9" t="inlineStr">
        <is>
          <t>Practice</t>
        </is>
      </c>
      <c r="G24" s="9" t="n">
        <v>30</v>
      </c>
      <c r="H24" s="9" t="inlineStr">
        <is>
          <t>Enablement + pod leads</t>
        </is>
      </c>
      <c r="I24" s="9" t="inlineStr">
        <is>
          <t>Ready today</t>
        </is>
      </c>
      <c r="J24" s="9" t="inlineStr"/>
      <c r="K24" s="9" t="inlineStr"/>
      <c r="L24" s="9" t="inlineStr"/>
      <c r="M24" s="9" t="inlineStr">
        <is>
          <t>Yes</t>
        </is>
      </c>
      <c r="N24" s="10" t="inlineStr"/>
      <c r="O24" s="10" t="inlineStr"/>
    </row>
    <row r="25">
      <c r="A25" s="9" t="inlineStr">
        <is>
          <t>Days 1–30</t>
        </is>
      </c>
      <c r="B25" s="9" t="inlineStr">
        <is>
          <t>Week 2 · Mon</t>
        </is>
      </c>
      <c r="C25" s="9" t="n">
        <v>6</v>
      </c>
      <c r="D25" s="9" t="inlineStr">
        <is>
          <t>Payments Academy: Foundations 1–3</t>
        </is>
      </c>
      <c r="E25" s="9" t="inlineStr">
        <is>
          <t>Explain basic payment concepts, payment methods and the merchant value proposition</t>
        </is>
      </c>
      <c r="F25" s="9" t="inlineStr">
        <is>
          <t>Self-paced</t>
        </is>
      </c>
      <c r="G25" s="9" t="n">
        <v>60</v>
      </c>
      <c r="H25" s="9" t="inlineStr">
        <is>
          <t>Self-directed</t>
        </is>
      </c>
      <c r="I25" s="9" t="inlineStr">
        <is>
          <t>Needs refresh</t>
        </is>
      </c>
      <c r="J25" s="9" t="inlineStr"/>
      <c r="K25" s="9" t="inlineStr">
        <is>
          <t>Paced across Week 2 instead of Day 2, with a Friday live debrief.</t>
        </is>
      </c>
      <c r="L25" s="9" t="inlineStr"/>
      <c r="M25" s="9" t="inlineStr">
        <is>
          <t>Yes</t>
        </is>
      </c>
      <c r="N25" s="10" t="inlineStr"/>
      <c r="O25" s="10" t="inlineStr"/>
    </row>
    <row r="26">
      <c r="A26" s="9" t="inlineStr">
        <is>
          <t>Days 1–30</t>
        </is>
      </c>
      <c r="B26" s="9" t="inlineStr">
        <is>
          <t>Week 2 · Mon</t>
        </is>
      </c>
      <c r="C26" s="9" t="n">
        <v>6</v>
      </c>
      <c r="D26" s="9" t="inlineStr">
        <is>
          <t>Competitive Landscape (global + NORAM)</t>
        </is>
      </c>
      <c r="E26" s="9" t="inlineStr">
        <is>
          <t>Compare next-gen and legacy PSPs, and position against our three key competitors</t>
        </is>
      </c>
      <c r="F26" s="9" t="inlineStr">
        <is>
          <t>Live</t>
        </is>
      </c>
      <c r="G26" s="9" t="n">
        <v>120</v>
      </c>
      <c r="H26" s="9" t="inlineStr">
        <is>
          <t>Michel Tornabene</t>
        </is>
      </c>
      <c r="I26" s="9" t="inlineStr">
        <is>
          <t>Ready today</t>
        </is>
      </c>
      <c r="J26" s="9" t="inlineStr"/>
      <c r="K26" s="9" t="inlineStr">
        <is>
          <t>Need a refreshed NORAM deck.</t>
        </is>
      </c>
      <c r="L26" s="9" t="inlineStr">
        <is>
          <t>12, 17</t>
        </is>
      </c>
      <c r="M26" s="9" t="inlineStr">
        <is>
          <t>Yes</t>
        </is>
      </c>
      <c r="N26" s="10" t="inlineStr"/>
      <c r="O26" s="10" t="inlineStr"/>
    </row>
    <row r="27">
      <c r="A27" s="9" t="inlineStr">
        <is>
          <t>Days 1–30</t>
        </is>
      </c>
      <c r="B27" s="9" t="inlineStr">
        <is>
          <t>Week 2 · Tue</t>
        </is>
      </c>
      <c r="C27" s="9" t="n">
        <v>7</v>
      </c>
      <c r="D27" s="9" t="inlineStr">
        <is>
          <t>Intro to Top of Funnel Onboarding</t>
        </is>
      </c>
      <c r="E27" s="9" t="inlineStr">
        <is>
          <t>Know the Top of Funnel e-learning path and how to use it</t>
        </is>
      </c>
      <c r="F27" s="9" t="inlineStr">
        <is>
          <t>Live</t>
        </is>
      </c>
      <c r="G27" s="9" t="n">
        <v>30</v>
      </c>
      <c r="H27" s="9" t="inlineStr">
        <is>
          <t>J.J. Henry</t>
        </is>
      </c>
      <c r="I27" s="9" t="inlineStr">
        <is>
          <t>Ready today</t>
        </is>
      </c>
      <c r="J27" s="9" t="inlineStr"/>
      <c r="K27" s="9" t="inlineStr"/>
      <c r="L27" s="9" t="inlineStr">
        <is>
          <t>31</t>
        </is>
      </c>
      <c r="M27" s="9" t="inlineStr">
        <is>
          <t>Yes</t>
        </is>
      </c>
      <c r="N27" s="10" t="inlineStr"/>
      <c r="O27" s="10" t="inlineStr"/>
    </row>
    <row r="28">
      <c r="A28" s="9" t="inlineStr">
        <is>
          <t>Days 1–30</t>
        </is>
      </c>
      <c r="B28" s="9" t="inlineStr">
        <is>
          <t>Week 2 · Tue</t>
        </is>
      </c>
      <c r="C28" s="9" t="n">
        <v>7</v>
      </c>
      <c r="D28" s="9" t="inlineStr">
        <is>
          <t>International Outlook: acquiring set-ups &amp; cross-border</t>
        </is>
      </c>
      <c r="E28" s="9" t="inlineStr">
        <is>
          <t>Explain Checkout's three acquiring set-ups and regional payment methods</t>
        </is>
      </c>
      <c r="F28" s="9" t="inlineStr">
        <is>
          <t>Live</t>
        </is>
      </c>
      <c r="G28" s="9" t="n">
        <v>45</v>
      </c>
      <c r="H28" s="9" t="inlineStr">
        <is>
          <t>Enablement</t>
        </is>
      </c>
      <c r="I28" s="9" t="inlineStr">
        <is>
          <t>Ready today</t>
        </is>
      </c>
      <c r="J28" s="9" t="inlineStr"/>
      <c r="K28" s="9" t="inlineStr"/>
      <c r="L28" s="9" t="inlineStr">
        <is>
          <t>39</t>
        </is>
      </c>
      <c r="M28" s="9" t="inlineStr">
        <is>
          <t>Yes</t>
        </is>
      </c>
      <c r="N28" s="10" t="inlineStr"/>
      <c r="O28" s="10" t="inlineStr"/>
    </row>
    <row r="29">
      <c r="A29" s="9" t="inlineStr">
        <is>
          <t>Days 1–30</t>
        </is>
      </c>
      <c r="B29" s="9" t="inlineStr">
        <is>
          <t>Week 2 · Wed</t>
        </is>
      </c>
      <c r="C29" s="9" t="n">
        <v>8</v>
      </c>
      <c r="D29" s="9" t="inlineStr">
        <is>
          <t>Payments Academy: Foundations 4–6</t>
        </is>
      </c>
      <c r="E29" s="9" t="inlineStr">
        <is>
          <t>Map the key players and the life cycle of a transaction</t>
        </is>
      </c>
      <c r="F29" s="9" t="inlineStr">
        <is>
          <t>Self-paced</t>
        </is>
      </c>
      <c r="G29" s="9" t="n">
        <v>60</v>
      </c>
      <c r="H29" s="9" t="inlineStr">
        <is>
          <t>Self-directed</t>
        </is>
      </c>
      <c r="I29" s="9" t="inlineStr">
        <is>
          <t>Needs refresh</t>
        </is>
      </c>
      <c r="J29" s="9" t="inlineStr"/>
      <c r="K29" s="9" t="inlineStr"/>
      <c r="L29" s="9" t="inlineStr"/>
      <c r="M29" s="9" t="inlineStr">
        <is>
          <t>Yes</t>
        </is>
      </c>
      <c r="N29" s="10" t="inlineStr"/>
      <c r="O29" s="10" t="inlineStr"/>
    </row>
    <row r="30">
      <c r="A30" s="9" t="inlineStr">
        <is>
          <t>Days 1–30</t>
        </is>
      </c>
      <c r="B30" s="9" t="inlineStr">
        <is>
          <t>Week 2 · Wed</t>
        </is>
      </c>
      <c r="C30" s="9" t="n">
        <v>8</v>
      </c>
      <c r="D30" s="9" t="inlineStr">
        <is>
          <t>Buyer personas in payments</t>
        </is>
      </c>
      <c r="E30" s="9" t="inlineStr">
        <is>
          <t>Tailor your message to a Head of Payments, CFO, CPO or engineering lead</t>
        </is>
      </c>
      <c r="F30" s="9" t="inlineStr">
        <is>
          <t>Live</t>
        </is>
      </c>
      <c r="G30" s="9" t="n">
        <v>60</v>
      </c>
      <c r="H30" s="9" t="inlineStr">
        <is>
          <t>J.J. Henry</t>
        </is>
      </c>
      <c r="I30" s="9" t="inlineStr">
        <is>
          <t>Ready today</t>
        </is>
      </c>
      <c r="J30" s="9" t="inlineStr"/>
      <c r="K30" s="9" t="inlineStr">
        <is>
          <t>Uses the 2023 Buyer Persona deck; check if it needs a refresh.</t>
        </is>
      </c>
      <c r="L30" s="9" t="inlineStr"/>
      <c r="M30" s="9" t="inlineStr">
        <is>
          <t>Yes</t>
        </is>
      </c>
      <c r="N30" s="10" t="inlineStr"/>
      <c r="O30" s="10" t="inlineStr"/>
    </row>
    <row r="31">
      <c r="A31" s="9" t="inlineStr">
        <is>
          <t>Days 1–30</t>
        </is>
      </c>
      <c r="B31" s="9" t="inlineStr">
        <is>
          <t>Week 2 · Wed</t>
        </is>
      </c>
      <c r="C31" s="9" t="n">
        <v>8</v>
      </c>
      <c r="D31" s="9" t="inlineStr">
        <is>
          <t>RevWay 2–3: DEPTH Selling &amp; Managing Pipeline</t>
        </is>
      </c>
      <c r="E31" s="9" t="inlineStr">
        <is>
          <t>Use the DEPTH stages to qualify and manage your pipeline</t>
        </is>
      </c>
      <c r="F31" s="9" t="inlineStr">
        <is>
          <t>Self-paced</t>
        </is>
      </c>
      <c r="G31" s="9" t="n">
        <v>150</v>
      </c>
      <c r="H31" s="9" t="inlineStr">
        <is>
          <t>Self-directed</t>
        </is>
      </c>
      <c r="I31" s="9" t="inlineStr">
        <is>
          <t>Ready today</t>
        </is>
      </c>
      <c r="J31" s="9" t="inlineStr"/>
      <c r="K31" s="9" t="inlineStr"/>
      <c r="L31" s="9" t="inlineStr"/>
      <c r="M31" s="9" t="inlineStr"/>
      <c r="N31" s="10" t="inlineStr"/>
      <c r="O31" s="10" t="inlineStr"/>
    </row>
    <row r="32">
      <c r="A32" s="9" t="inlineStr">
        <is>
          <t>Days 1–30</t>
        </is>
      </c>
      <c r="B32" s="9" t="inlineStr">
        <is>
          <t>Week 2 · Thu</t>
        </is>
      </c>
      <c r="C32" s="9" t="n">
        <v>9</v>
      </c>
      <c r="D32" s="9" t="inlineStr">
        <is>
          <t>Territory planning (STP), Rules of Engagement &amp; Incentive Ratings</t>
        </is>
      </c>
      <c r="E32" s="9" t="inlineStr">
        <is>
          <t>Know your territory, account tiers and how deals are credited</t>
        </is>
      </c>
      <c r="F32" s="9" t="inlineStr">
        <is>
          <t>Live</t>
        </is>
      </c>
      <c r="G32" s="9" t="n">
        <v>60</v>
      </c>
      <c r="H32" s="9" t="inlineStr">
        <is>
          <t>Francesco Falcone</t>
        </is>
      </c>
      <c r="I32" s="9" t="inlineStr">
        <is>
          <t>Ready today</t>
        </is>
      </c>
      <c r="J32" s="9" t="inlineStr"/>
      <c r="K32" s="9" t="inlineStr">
        <is>
          <t>Must be live and finished by the end of Week 2.</t>
        </is>
      </c>
      <c r="L32" s="9" t="inlineStr"/>
      <c r="M32" s="9" t="inlineStr">
        <is>
          <t>Yes</t>
        </is>
      </c>
      <c r="N32" s="10" t="inlineStr"/>
      <c r="O32" s="10" t="inlineStr"/>
    </row>
    <row r="33">
      <c r="A33" s="9" t="inlineStr">
        <is>
          <t>Days 1–30</t>
        </is>
      </c>
      <c r="B33" s="9" t="inlineStr">
        <is>
          <t>Week 2 · Thu</t>
        </is>
      </c>
      <c r="C33" s="9" t="n">
        <v>9</v>
      </c>
      <c r="D33" s="9" t="inlineStr">
        <is>
          <t>Commercial Risk</t>
        </is>
      </c>
      <c r="E33" s="9" t="inlineStr">
        <is>
          <t>Explain MCC risk, the BMG tool and minimum acceptance criteria for higher-risk merchants</t>
        </is>
      </c>
      <c r="F33" s="9" t="inlineStr">
        <is>
          <t>Live</t>
        </is>
      </c>
      <c r="G33" s="9" t="n">
        <v>30</v>
      </c>
      <c r="H33" s="9" t="inlineStr">
        <is>
          <t>Enablement</t>
        </is>
      </c>
      <c r="I33" s="9" t="inlineStr">
        <is>
          <t>Ready today</t>
        </is>
      </c>
      <c r="J33" s="9" t="inlineStr"/>
      <c r="K33" s="9" t="inlineStr"/>
      <c r="L33" s="9" t="inlineStr">
        <is>
          <t>30</t>
        </is>
      </c>
      <c r="M33" s="9" t="inlineStr">
        <is>
          <t>Yes</t>
        </is>
      </c>
      <c r="N33" s="10" t="inlineStr"/>
      <c r="O33" s="10" t="inlineStr"/>
    </row>
    <row r="34">
      <c r="A34" s="9" t="inlineStr">
        <is>
          <t>Days 1–30</t>
        </is>
      </c>
      <c r="B34" s="9" t="inlineStr">
        <is>
          <t>Week 2 · Fri</t>
        </is>
      </c>
      <c r="C34" s="9" t="n">
        <v>10</v>
      </c>
      <c r="D34" s="9" t="inlineStr">
        <is>
          <t>Payments Academy: Foundations 7–10 + live debrief</t>
        </is>
      </c>
      <c r="E34" s="9" t="inlineStr">
        <is>
          <t>Explain payments economics, regulation and risk in your own words</t>
        </is>
      </c>
      <c r="F34" s="9" t="inlineStr">
        <is>
          <t>Self-paced</t>
        </is>
      </c>
      <c r="G34" s="9" t="n">
        <v>90</v>
      </c>
      <c r="H34" s="9" t="inlineStr">
        <is>
          <t>Enablement</t>
        </is>
      </c>
      <c r="I34" s="9" t="inlineStr">
        <is>
          <t>Needs refresh</t>
        </is>
      </c>
      <c r="J34" s="9" t="inlineStr"/>
      <c r="K34" s="9" t="inlineStr">
        <is>
          <t>The debrief turns the modules into talk tracks.</t>
        </is>
      </c>
      <c r="L34" s="9" t="inlineStr"/>
      <c r="M34" s="9" t="inlineStr">
        <is>
          <t>Yes</t>
        </is>
      </c>
      <c r="N34" s="10" t="inlineStr"/>
      <c r="O34" s="10" t="inlineStr"/>
    </row>
    <row r="35">
      <c r="A35" s="9" t="inlineStr">
        <is>
          <t>Days 1–30</t>
        </is>
      </c>
      <c r="B35" s="9" t="inlineStr">
        <is>
          <t>Week 3 · Mon</t>
        </is>
      </c>
      <c r="C35" s="9" t="n">
        <v>11</v>
      </c>
      <c r="D35" s="9" t="inlineStr">
        <is>
          <t>Product Foundations: Connect &amp; Move</t>
        </is>
      </c>
      <c r="E35" s="9" t="inlineStr">
        <is>
          <t>Explain the value of the Connect and Move pillars</t>
        </is>
      </c>
      <c r="F35" s="9" t="inlineStr">
        <is>
          <t>Self-paced</t>
        </is>
      </c>
      <c r="G35" s="9" t="n">
        <v>120</v>
      </c>
      <c r="H35" s="9" t="inlineStr">
        <is>
          <t>Self-directed</t>
        </is>
      </c>
      <c r="I35" s="9" t="inlineStr">
        <is>
          <t>Ready today</t>
        </is>
      </c>
      <c r="J35" s="9" t="inlineStr"/>
      <c r="K35" s="9" t="inlineStr"/>
      <c r="L35" s="9" t="inlineStr"/>
      <c r="M35" s="9" t="inlineStr">
        <is>
          <t>Yes</t>
        </is>
      </c>
      <c r="N35" s="10" t="inlineStr"/>
      <c r="O35" s="10" t="inlineStr"/>
    </row>
    <row r="36">
      <c r="A36" s="9" t="inlineStr">
        <is>
          <t>Days 1–30</t>
        </is>
      </c>
      <c r="B36" s="9" t="inlineStr">
        <is>
          <t>Week 3 · Mon</t>
        </is>
      </c>
      <c r="C36" s="9" t="n">
        <v>11</v>
      </c>
      <c r="D36" s="9" t="inlineStr">
        <is>
          <t>Pillars in live deals: Connect &amp; Move</t>
        </is>
      </c>
      <c r="E36" s="9" t="inlineStr">
        <is>
          <t>See how Connect and Move win real NORAM deals</t>
        </is>
      </c>
      <c r="F36" s="9" t="inlineStr">
        <is>
          <t>Live</t>
        </is>
      </c>
      <c r="G36" s="9" t="n">
        <v>60</v>
      </c>
      <c r="H36" s="9" t="inlineStr">
        <is>
          <t>Pod leads</t>
        </is>
      </c>
      <c r="I36" s="9" t="inlineStr">
        <is>
          <t>Needs refresh</t>
        </is>
      </c>
      <c r="J36" s="9" t="inlineStr"/>
      <c r="K36" s="9" t="inlineStr">
        <is>
          <t>Replace generic sales-perspective sessions with 30-minute live-deal walk-throughs built on a vertical use case.</t>
        </is>
      </c>
      <c r="L36" s="9" t="inlineStr"/>
      <c r="M36" s="9" t="inlineStr"/>
      <c r="N36" s="10" t="inlineStr"/>
      <c r="O36" s="10" t="inlineStr"/>
    </row>
    <row r="37">
      <c r="A37" s="9" t="inlineStr">
        <is>
          <t>Days 1–30</t>
        </is>
      </c>
      <c r="B37" s="9" t="inlineStr">
        <is>
          <t>Week 3 · Tue</t>
        </is>
      </c>
      <c r="C37" s="9" t="n">
        <v>12</v>
      </c>
      <c r="D37" s="9" t="inlineStr">
        <is>
          <t>Salesforce, Clari &amp; pipeline hygiene</t>
        </is>
      </c>
      <c r="E37" s="9" t="inlineStr">
        <is>
          <t>Create and update opportunities and forecast in Clari</t>
        </is>
      </c>
      <c r="F37" s="9" t="inlineStr">
        <is>
          <t>Live</t>
        </is>
      </c>
      <c r="G37" s="9" t="n">
        <v>60</v>
      </c>
      <c r="H37" s="9" t="inlineStr">
        <is>
          <t>Enablement</t>
        </is>
      </c>
      <c r="I37" s="9" t="inlineStr">
        <is>
          <t>Needs refresh</t>
        </is>
      </c>
      <c r="J37" s="9" t="inlineStr"/>
      <c r="K37" s="9" t="inlineStr">
        <is>
          <t>Material still to be put together.</t>
        </is>
      </c>
      <c r="L37" s="9" t="inlineStr"/>
      <c r="M37" s="9" t="inlineStr">
        <is>
          <t>Yes</t>
        </is>
      </c>
      <c r="N37" s="10" t="inlineStr"/>
      <c r="O37" s="10" t="inlineStr"/>
    </row>
    <row r="38">
      <c r="A38" s="9" t="inlineStr">
        <is>
          <t>Days 1–30</t>
        </is>
      </c>
      <c r="B38" s="9" t="inlineStr">
        <is>
          <t>Week 3 · Tue</t>
        </is>
      </c>
      <c r="C38" s="9" t="n">
        <v>12</v>
      </c>
      <c r="D38" s="9" t="inlineStr">
        <is>
          <t>Intro to Deal Management</t>
        </is>
      </c>
      <c r="E38" s="9" t="inlineStr">
        <is>
          <t>Know who Deal Management are, what they do and when to engage them</t>
        </is>
      </c>
      <c r="F38" s="9" t="inlineStr">
        <is>
          <t>Live</t>
        </is>
      </c>
      <c r="G38" s="9" t="n">
        <v>30</v>
      </c>
      <c r="H38" s="9" t="inlineStr">
        <is>
          <t>Faith Bergman</t>
        </is>
      </c>
      <c r="I38" s="9" t="inlineStr">
        <is>
          <t>Ready today</t>
        </is>
      </c>
      <c r="J38" s="9" t="inlineStr"/>
      <c r="K38" s="9" t="inlineStr"/>
      <c r="L38" s="9" t="inlineStr">
        <is>
          <t>34</t>
        </is>
      </c>
      <c r="M38" s="9" t="inlineStr"/>
      <c r="N38" s="10" t="inlineStr"/>
      <c r="O38" s="10" t="inlineStr"/>
    </row>
    <row r="39">
      <c r="A39" s="9" t="inlineStr">
        <is>
          <t>Days 1–30</t>
        </is>
      </c>
      <c r="B39" s="9" t="inlineStr">
        <is>
          <t>Week 3 · Wed</t>
        </is>
      </c>
      <c r="C39" s="9" t="n">
        <v>13</v>
      </c>
      <c r="D39" s="9" t="inlineStr">
        <is>
          <t>Product Foundations: Protect, Boost &amp; Manage</t>
        </is>
      </c>
      <c r="E39" s="9" t="inlineStr">
        <is>
          <t>Explain the value of the Protect, Boost and Manage pillars</t>
        </is>
      </c>
      <c r="F39" s="9" t="inlineStr">
        <is>
          <t>Self-paced</t>
        </is>
      </c>
      <c r="G39" s="9" t="n">
        <v>150</v>
      </c>
      <c r="H39" s="9" t="inlineStr">
        <is>
          <t>Self-directed</t>
        </is>
      </c>
      <c r="I39" s="9" t="inlineStr">
        <is>
          <t>Ready today</t>
        </is>
      </c>
      <c r="J39" s="9" t="inlineStr"/>
      <c r="K39" s="9" t="inlineStr"/>
      <c r="L39" s="9" t="inlineStr"/>
      <c r="M39" s="9" t="inlineStr">
        <is>
          <t>Yes</t>
        </is>
      </c>
      <c r="N39" s="10" t="inlineStr"/>
      <c r="O39" s="10" t="inlineStr"/>
    </row>
    <row r="40">
      <c r="A40" s="9" t="inlineStr">
        <is>
          <t>Days 1–30</t>
        </is>
      </c>
      <c r="B40" s="9" t="inlineStr">
        <is>
          <t>Week 3 · Thu</t>
        </is>
      </c>
      <c r="C40" s="9" t="n">
        <v>14</v>
      </c>
      <c r="D40" s="9" t="inlineStr">
        <is>
          <t>Pillars in live deals: Protect, Boost &amp; Manage</t>
        </is>
      </c>
      <c r="E40" s="9" t="inlineStr">
        <is>
          <t>See how Protect, Boost and Manage win real NORAM deals</t>
        </is>
      </c>
      <c r="F40" s="9" t="inlineStr">
        <is>
          <t>Live</t>
        </is>
      </c>
      <c r="G40" s="9" t="n">
        <v>60</v>
      </c>
      <c r="H40" s="9" t="inlineStr">
        <is>
          <t>Pod leads</t>
        </is>
      </c>
      <c r="I40" s="9" t="inlineStr">
        <is>
          <t>Needs refresh</t>
        </is>
      </c>
      <c r="J40" s="9" t="inlineStr"/>
      <c r="K40" s="9" t="inlineStr"/>
      <c r="L40" s="9" t="inlineStr"/>
      <c r="M40" s="9" t="inlineStr"/>
      <c r="N40" s="10" t="inlineStr"/>
      <c r="O40" s="10" t="inlineStr"/>
    </row>
    <row r="41">
      <c r="A41" s="9" t="inlineStr">
        <is>
          <t>Days 1–30</t>
        </is>
      </c>
      <c r="B41" s="9" t="inlineStr">
        <is>
          <t>Week 3 · Thu</t>
        </is>
      </c>
      <c r="C41" s="9" t="n">
        <v>14</v>
      </c>
      <c r="D41" s="9" t="inlineStr">
        <is>
          <t>Intro to Issuing (NORAM)</t>
        </is>
      </c>
      <c r="E41" s="9" t="inlineStr">
        <is>
          <t>Explain Checkout Issuing and when it fits a merchant</t>
        </is>
      </c>
      <c r="F41" s="9" t="inlineStr">
        <is>
          <t>Live</t>
        </is>
      </c>
      <c r="G41" s="9" t="n">
        <v>30</v>
      </c>
      <c r="H41" s="9" t="inlineStr">
        <is>
          <t>TBD with team lead</t>
        </is>
      </c>
      <c r="I41" s="9" t="inlineStr">
        <is>
          <t>To build</t>
        </is>
      </c>
      <c r="J41" s="9" t="inlineStr"/>
      <c r="K41" s="9" t="inlineStr">
        <is>
          <t>Exists for UK/EEA only today (catalogue #48). Build a NORAM version.</t>
        </is>
      </c>
      <c r="L41" s="9" t="inlineStr">
        <is>
          <t>48 (UK/EEA)</t>
        </is>
      </c>
      <c r="M41" s="9" t="inlineStr"/>
      <c r="N41" s="10" t="inlineStr"/>
      <c r="O41" s="10" t="inlineStr"/>
    </row>
    <row r="42">
      <c r="A42" s="9" t="inlineStr">
        <is>
          <t>Days 1–30</t>
        </is>
      </c>
      <c r="B42" s="9" t="inlineStr">
        <is>
          <t>Week 3 · Fri</t>
        </is>
      </c>
      <c r="C42" s="9" t="n">
        <v>15</v>
      </c>
      <c r="D42" s="9" t="inlineStr">
        <is>
          <t>Payment Performance AMA (Boost)</t>
        </is>
      </c>
      <c r="E42" s="9" t="inlineStr">
        <is>
          <t>Ask our payments performance lead how Boost lifts acceptance</t>
        </is>
      </c>
      <c r="F42" s="9" t="inlineStr">
        <is>
          <t>Live</t>
        </is>
      </c>
      <c r="G42" s="9" t="n">
        <v>60</v>
      </c>
      <c r="H42" s="9" t="inlineStr">
        <is>
          <t>Daniel Linder</t>
        </is>
      </c>
      <c r="I42" s="9" t="inlineStr">
        <is>
          <t>Ready today</t>
        </is>
      </c>
      <c r="J42" s="9" t="inlineStr"/>
      <c r="K42" s="9" t="inlineStr"/>
      <c r="L42" s="9" t="inlineStr"/>
      <c r="M42" s="9" t="inlineStr"/>
      <c r="N42" s="10" t="inlineStr"/>
      <c r="O42" s="10" t="inlineStr"/>
    </row>
    <row r="43">
      <c r="A43" s="9" t="inlineStr">
        <is>
          <t>Days 1–30</t>
        </is>
      </c>
      <c r="B43" s="9" t="inlineStr">
        <is>
          <t>Week 4 · Mon</t>
        </is>
      </c>
      <c r="C43" s="9" t="n">
        <v>16</v>
      </c>
      <c r="D43" s="9" t="inlineStr">
        <is>
          <t>RevWay 4–5: Discovery &amp; Explore phases</t>
        </is>
      </c>
      <c r="E43" s="9" t="inlineStr">
        <is>
          <t>Prepare and structure an Explore call</t>
        </is>
      </c>
      <c r="F43" s="9" t="inlineStr">
        <is>
          <t>Self-paced</t>
        </is>
      </c>
      <c r="G43" s="9" t="n">
        <v>150</v>
      </c>
      <c r="H43" s="9" t="inlineStr">
        <is>
          <t>Self-directed</t>
        </is>
      </c>
      <c r="I43" s="9" t="inlineStr">
        <is>
          <t>Ready today</t>
        </is>
      </c>
      <c r="J43" s="9" t="inlineStr">
        <is>
          <t>Explore cert</t>
        </is>
      </c>
      <c r="K43" s="9" t="inlineStr"/>
      <c r="L43" s="9" t="inlineStr"/>
      <c r="M43" s="9" t="inlineStr"/>
      <c r="N43" s="10" t="inlineStr"/>
      <c r="O43" s="10" t="inlineStr"/>
    </row>
    <row r="44">
      <c r="A44" s="9" t="inlineStr">
        <is>
          <t>Days 1–30</t>
        </is>
      </c>
      <c r="B44" s="9" t="inlineStr">
        <is>
          <t>Week 4 · Mon</t>
        </is>
      </c>
      <c r="C44" s="9" t="n">
        <v>16</v>
      </c>
      <c r="D44" s="9" t="inlineStr">
        <is>
          <t>Discover (SAT style) (NORAM)</t>
        </is>
      </c>
      <c r="E44" s="9" t="inlineStr">
        <is>
          <t>Run discovery the way the Strategic Accounts Team does</t>
        </is>
      </c>
      <c r="F44" s="9" t="inlineStr">
        <is>
          <t>Live</t>
        </is>
      </c>
      <c r="G44" s="9" t="n">
        <v>30</v>
      </c>
      <c r="H44" s="9" t="inlineStr">
        <is>
          <t>TBD with team lead</t>
        </is>
      </c>
      <c r="I44" s="9" t="inlineStr">
        <is>
          <t>To build</t>
        </is>
      </c>
      <c r="J44" s="9" t="inlineStr">
        <is>
          <t>Explore cert</t>
        </is>
      </c>
      <c r="K44" s="9" t="inlineStr">
        <is>
          <t>Exists for UK/EEA only today (catalogue #41). Build a NORAM version.</t>
        </is>
      </c>
      <c r="L44" s="9" t="inlineStr">
        <is>
          <t>41 (UK/EEA)</t>
        </is>
      </c>
      <c r="M44" s="9" t="inlineStr"/>
      <c r="N44" s="10" t="inlineStr"/>
      <c r="O44" s="10" t="inlineStr"/>
    </row>
    <row r="45">
      <c r="A45" s="9" t="inlineStr">
        <is>
          <t>Days 1–30</t>
        </is>
      </c>
      <c r="B45" s="9" t="inlineStr">
        <is>
          <t>Week 4 · Tue</t>
        </is>
      </c>
      <c r="C45" s="9" t="n">
        <v>17</v>
      </c>
      <c r="D45" s="9" t="inlineStr">
        <is>
          <t>Explore Call Masterclass</t>
        </is>
      </c>
      <c r="E45" s="9" t="inlineStr">
        <is>
          <t>Run an Explore call with an agenda, upfront contract and DEPTH funnel</t>
        </is>
      </c>
      <c r="F45" s="9" t="inlineStr">
        <is>
          <t>Live</t>
        </is>
      </c>
      <c r="G45" s="9" t="n">
        <v>90</v>
      </c>
      <c r="H45" s="9" t="inlineStr">
        <is>
          <t>Enablement + top AE</t>
        </is>
      </c>
      <c r="I45" s="9" t="inlineStr">
        <is>
          <t>To build</t>
        </is>
      </c>
      <c r="J45" s="9" t="inlineStr">
        <is>
          <t>Explore cert</t>
        </is>
      </c>
      <c r="K45" s="9" t="inlineStr"/>
      <c r="L45" s="9" t="inlineStr"/>
      <c r="M45" s="9" t="inlineStr"/>
      <c r="N45" s="10" t="inlineStr"/>
      <c r="O45" s="10" t="inlineStr"/>
    </row>
    <row r="46">
      <c r="A46" s="9" t="inlineStr">
        <is>
          <t>Days 1–30</t>
        </is>
      </c>
      <c r="B46" s="9" t="inlineStr">
        <is>
          <t>Week 4 · Tue</t>
        </is>
      </c>
      <c r="C46" s="9" t="n">
        <v>17</v>
      </c>
      <c r="D46" s="9" t="inlineStr">
        <is>
          <t>AI in Commercial</t>
        </is>
      </c>
      <c r="E46" s="9" t="inlineStr">
        <is>
          <t>Use Checkout's AI tools for research, prep and follow-up</t>
        </is>
      </c>
      <c r="F46" s="9" t="inlineStr">
        <is>
          <t>Live</t>
        </is>
      </c>
      <c r="G46" s="9" t="n">
        <v>60</v>
      </c>
      <c r="H46" s="9" t="inlineStr">
        <is>
          <t>Molly McKenna</t>
        </is>
      </c>
      <c r="I46" s="9" t="inlineStr">
        <is>
          <t>Ready today</t>
        </is>
      </c>
      <c r="J46" s="9" t="inlineStr"/>
      <c r="K46" s="9" t="inlineStr"/>
      <c r="L46" s="9" t="inlineStr">
        <is>
          <t>50</t>
        </is>
      </c>
      <c r="M46" s="9" t="inlineStr">
        <is>
          <t>Yes</t>
        </is>
      </c>
      <c r="N46" s="10" t="inlineStr"/>
      <c r="O46" s="10" t="inlineStr"/>
    </row>
    <row r="47">
      <c r="A47" s="9" t="inlineStr">
        <is>
          <t>Days 1–30</t>
        </is>
      </c>
      <c r="B47" s="9" t="inlineStr">
        <is>
          <t>Week 4 · Wed</t>
        </is>
      </c>
      <c r="C47" s="9" t="n">
        <v>18</v>
      </c>
      <c r="D47" s="9" t="inlineStr">
        <is>
          <t>Payments discovery question bank &amp; value hypothesis</t>
        </is>
      </c>
      <c r="E47" s="9" t="inlineStr">
        <is>
          <t>Ask the right questions for each persona and pillar, and form a value hypothesis</t>
        </is>
      </c>
      <c r="F47" s="9" t="inlineStr">
        <is>
          <t>Live</t>
        </is>
      </c>
      <c r="G47" s="9" t="n">
        <v>60</v>
      </c>
      <c r="H47" s="9" t="inlineStr">
        <is>
          <t>Enablement + Solutions Engineering</t>
        </is>
      </c>
      <c r="I47" s="9" t="inlineStr">
        <is>
          <t>To build</t>
        </is>
      </c>
      <c r="J47" s="9" t="inlineStr">
        <is>
          <t>Explore cert</t>
        </is>
      </c>
      <c r="K47" s="9" t="inlineStr"/>
      <c r="L47" s="9" t="inlineStr"/>
      <c r="M47" s="9" t="inlineStr"/>
      <c r="N47" s="10" t="inlineStr"/>
      <c r="O47" s="10" t="inlineStr"/>
    </row>
    <row r="48">
      <c r="A48" s="9" t="inlineStr">
        <is>
          <t>Days 1–30</t>
        </is>
      </c>
      <c r="B48" s="9" t="inlineStr">
        <is>
          <t>Week 4 · Wed</t>
        </is>
      </c>
      <c r="C48" s="9" t="n">
        <v>18</v>
      </c>
      <c r="D48" s="9" t="inlineStr">
        <is>
          <t>Intro to Commercial &amp; Merchant Insights (NORAM)</t>
        </is>
      </c>
      <c r="E48" s="9" t="inlineStr">
        <is>
          <t>Use merchant data and insights to sharpen discovery</t>
        </is>
      </c>
      <c r="F48" s="9" t="inlineStr">
        <is>
          <t>Live</t>
        </is>
      </c>
      <c r="G48" s="9" t="n">
        <v>30</v>
      </c>
      <c r="H48" s="9" t="inlineStr">
        <is>
          <t>TBD with team lead</t>
        </is>
      </c>
      <c r="I48" s="9" t="inlineStr">
        <is>
          <t>To build</t>
        </is>
      </c>
      <c r="J48" s="9" t="inlineStr"/>
      <c r="K48" s="9" t="inlineStr">
        <is>
          <t>Exists for UK/EEA only today (catalogue #47). Build a NORAM version.</t>
        </is>
      </c>
      <c r="L48" s="9" t="inlineStr">
        <is>
          <t>47 (UK/EEA)</t>
        </is>
      </c>
      <c r="M48" s="9" t="inlineStr"/>
      <c r="N48" s="10" t="inlineStr"/>
      <c r="O48" s="10" t="inlineStr"/>
    </row>
    <row r="49">
      <c r="A49" s="9" t="inlineStr">
        <is>
          <t>Days 1–30</t>
        </is>
      </c>
      <c r="B49" s="9" t="inlineStr">
        <is>
          <t>Week 4 · Thu</t>
        </is>
      </c>
      <c r="C49" s="9" t="n">
        <v>19</v>
      </c>
      <c r="D49" s="9" t="inlineStr">
        <is>
          <t>Pause and Play: Explore call gametapes</t>
        </is>
      </c>
      <c r="E49" s="9" t="inlineStr">
        <is>
          <t>Spot what great discovery sounds like on real Clari calls</t>
        </is>
      </c>
      <c r="F49" s="9" t="inlineStr">
        <is>
          <t>Practice</t>
        </is>
      </c>
      <c r="G49" s="9" t="n">
        <v>60</v>
      </c>
      <c r="H49" s="9" t="inlineStr">
        <is>
          <t>Enablement</t>
        </is>
      </c>
      <c r="I49" s="9" t="inlineStr">
        <is>
          <t>Ready today</t>
        </is>
      </c>
      <c r="J49" s="9" t="inlineStr">
        <is>
          <t>Explore cert</t>
        </is>
      </c>
      <c r="K49" s="9" t="inlineStr">
        <is>
          <t>Runs weekly from Week 4; this week uses an Explore-only playlist.</t>
        </is>
      </c>
      <c r="L49" s="9" t="inlineStr"/>
      <c r="M49" s="9" t="inlineStr"/>
      <c r="N49" s="10" t="inlineStr"/>
      <c r="O49" s="10" t="inlineStr"/>
    </row>
    <row r="50">
      <c r="A50" s="9" t="inlineStr">
        <is>
          <t>Days 1–30</t>
        </is>
      </c>
      <c r="B50" s="9" t="inlineStr">
        <is>
          <t>Week 4 · Fri</t>
        </is>
      </c>
      <c r="C50" s="9" t="n">
        <v>20</v>
      </c>
      <c r="D50" s="9" t="inlineStr">
        <is>
          <t>Explore role-play sprint</t>
        </is>
      </c>
      <c r="E50" s="9" t="inlineStr">
        <is>
          <t>Practise three timed Explore calls against three personas, scored on the rubric</t>
        </is>
      </c>
      <c r="F50" s="9" t="inlineStr">
        <is>
          <t>Practice</t>
        </is>
      </c>
      <c r="G50" s="9" t="n">
        <v>90</v>
      </c>
      <c r="H50" s="9" t="inlineStr">
        <is>
          <t>Pod leads + buddy</t>
        </is>
      </c>
      <c r="I50" s="9" t="inlineStr">
        <is>
          <t>Ready today</t>
        </is>
      </c>
      <c r="J50" s="9" t="inlineStr">
        <is>
          <t>Explore cert</t>
        </is>
      </c>
      <c r="K50" s="9" t="inlineStr"/>
      <c r="L50" s="9" t="inlineStr"/>
      <c r="M50" s="9" t="inlineStr"/>
      <c r="N50" s="10" t="inlineStr"/>
      <c r="O50" s="10" t="inlineStr"/>
    </row>
    <row r="51">
      <c r="A51" s="9" t="inlineStr">
        <is>
          <t>Days 1–30</t>
        </is>
      </c>
      <c r="B51" s="9" t="inlineStr">
        <is>
          <t>Week 5 · Mon</t>
        </is>
      </c>
      <c r="C51" s="9" t="n">
        <v>21</v>
      </c>
      <c r="D51" s="9" t="inlineStr">
        <is>
          <t>Elevator pitch + five-pillar knowledge check</t>
        </is>
      </c>
      <c r="E51" s="9" t="inlineStr">
        <is>
          <t>Deliver a 60-second pitch and explain all five pillars</t>
        </is>
      </c>
      <c r="F51" s="9" t="inlineStr">
        <is>
          <t>Practice</t>
        </is>
      </c>
      <c r="G51" s="9" t="n">
        <v>60</v>
      </c>
      <c r="H51" s="9" t="inlineStr">
        <is>
          <t>Line manager + Enablement</t>
        </is>
      </c>
      <c r="I51" s="9" t="inlineStr">
        <is>
          <t>Needs refresh</t>
        </is>
      </c>
      <c r="J51" s="9" t="inlineStr"/>
      <c r="K51" s="9" t="inlineStr">
        <is>
          <t>Practice step, not a gate. Combines today's pitch reviews and pillar Kahoots.</t>
        </is>
      </c>
      <c r="L51" s="9" t="inlineStr"/>
      <c r="M51" s="9" t="inlineStr"/>
      <c r="N51" s="10" t="inlineStr"/>
      <c r="O51" s="10" t="inlineStr"/>
    </row>
    <row r="52">
      <c r="A52" s="9" t="inlineStr">
        <is>
          <t>Days 1–30</t>
        </is>
      </c>
      <c r="B52" s="9" t="inlineStr">
        <is>
          <t>Week 5 · Mon</t>
        </is>
      </c>
      <c r="C52" s="9" t="n">
        <v>21</v>
      </c>
      <c r="D52" s="9" t="inlineStr">
        <is>
          <t>Account list review: your Top 70</t>
        </is>
      </c>
      <c r="E52" s="9" t="inlineStr">
        <is>
          <t>Prioritise your accounts and know why each one is a fit</t>
        </is>
      </c>
      <c r="F52" s="9" t="inlineStr">
        <is>
          <t>Practice</t>
        </is>
      </c>
      <c r="G52" s="9" t="n">
        <v>60</v>
      </c>
      <c r="H52" s="9" t="inlineStr">
        <is>
          <t>Line manager</t>
        </is>
      </c>
      <c r="I52" s="9" t="inlineStr">
        <is>
          <t>Ready today</t>
        </is>
      </c>
      <c r="J52" s="9" t="inlineStr"/>
      <c r="K52" s="9" t="inlineStr"/>
      <c r="L52" s="9" t="inlineStr"/>
      <c r="M52" s="9" t="inlineStr"/>
      <c r="N52" s="10" t="inlineStr"/>
      <c r="O52" s="10" t="inlineStr"/>
    </row>
    <row r="53">
      <c r="A53" s="9" t="inlineStr">
        <is>
          <t>Days 1–30</t>
        </is>
      </c>
      <c r="B53" s="9" t="inlineStr">
        <is>
          <t>Week 5 · Tue</t>
        </is>
      </c>
      <c r="C53" s="9" t="n">
        <v>22</v>
      </c>
      <c r="D53" s="9" t="inlineStr">
        <is>
          <t>Outreach lab: openers, email personalisation &amp; gatekeepers</t>
        </is>
      </c>
      <c r="E53" s="9" t="inlineStr">
        <is>
          <t>Write outreach that books meetings and get past gatekeepers</t>
        </is>
      </c>
      <c r="F53" s="9" t="inlineStr">
        <is>
          <t>Live</t>
        </is>
      </c>
      <c r="G53" s="9" t="n">
        <v>120</v>
      </c>
      <c r="H53" s="9" t="inlineStr">
        <is>
          <t>Jasmine Jancsik</t>
        </is>
      </c>
      <c r="I53" s="9" t="inlineStr">
        <is>
          <t>Ready today</t>
        </is>
      </c>
      <c r="J53" s="9" t="inlineStr"/>
      <c r="K53" s="9" t="inlineStr"/>
      <c r="L53" s="9" t="inlineStr"/>
      <c r="M53" s="9" t="inlineStr">
        <is>
          <t>Yes</t>
        </is>
      </c>
      <c r="N53" s="10" t="inlineStr"/>
      <c r="O53" s="10" t="inlineStr"/>
    </row>
    <row r="54">
      <c r="A54" s="9" t="inlineStr">
        <is>
          <t>Days 1–30</t>
        </is>
      </c>
      <c r="B54" s="9" t="inlineStr">
        <is>
          <t>Week 5 · Wed</t>
        </is>
      </c>
      <c r="C54" s="9" t="n">
        <v>23</v>
      </c>
      <c r="D54" s="9" t="inlineStr">
        <is>
          <t>Cold-call role play</t>
        </is>
      </c>
      <c r="E54" s="9" t="inlineStr">
        <is>
          <t>Open a cold call confidently and book a next step</t>
        </is>
      </c>
      <c r="F54" s="9" t="inlineStr">
        <is>
          <t>Practice</t>
        </is>
      </c>
      <c r="G54" s="9" t="n">
        <v>30</v>
      </c>
      <c r="H54" s="9" t="inlineStr">
        <is>
          <t>Jasmine Jancsik</t>
        </is>
      </c>
      <c r="I54" s="9" t="inlineStr">
        <is>
          <t>Ready today</t>
        </is>
      </c>
      <c r="J54" s="9" t="inlineStr"/>
      <c r="K54" s="9" t="inlineStr"/>
      <c r="L54" s="9" t="inlineStr"/>
      <c r="M54" s="9" t="inlineStr">
        <is>
          <t>Yes</t>
        </is>
      </c>
      <c r="N54" s="10" t="inlineStr"/>
      <c r="O54" s="10" t="inlineStr"/>
    </row>
    <row r="55">
      <c r="A55" s="9" t="inlineStr">
        <is>
          <t>Days 1–30</t>
        </is>
      </c>
      <c r="B55" s="9" t="inlineStr">
        <is>
          <t>Week 5 · Thu</t>
        </is>
      </c>
      <c r="C55" s="9" t="n">
        <v>24</v>
      </c>
      <c r="D55" s="9" t="inlineStr">
        <is>
          <t>Storyline workshop: the first-meeting pitch deck</t>
        </is>
      </c>
      <c r="E55" s="9" t="inlineStr">
        <is>
          <t>Build a first-meeting deck: insight → value → proof → next steps</t>
        </is>
      </c>
      <c r="F55" s="9" t="inlineStr">
        <is>
          <t>Live</t>
        </is>
      </c>
      <c r="G55" s="9" t="n">
        <v>90</v>
      </c>
      <c r="H55" s="9" t="inlineStr">
        <is>
          <t>Enablement + Product Marketing</t>
        </is>
      </c>
      <c r="I55" s="9" t="inlineStr">
        <is>
          <t>To build</t>
        </is>
      </c>
      <c r="J55" s="9" t="inlineStr">
        <is>
          <t>Pitch cert</t>
        </is>
      </c>
      <c r="K55" s="9" t="inlineStr">
        <is>
          <t>Uses the standard certification case and the Great Decks library.</t>
        </is>
      </c>
      <c r="L55" s="9" t="inlineStr"/>
      <c r="M55" s="9" t="inlineStr"/>
      <c r="N55" s="10" t="inlineStr"/>
      <c r="O55" s="10" t="inlineStr"/>
    </row>
    <row r="56">
      <c r="A56" s="9" t="inlineStr">
        <is>
          <t>Days 1–30</t>
        </is>
      </c>
      <c r="B56" s="9" t="inlineStr">
        <is>
          <t>Week 5 · Fri</t>
        </is>
      </c>
      <c r="C56" s="9" t="n">
        <v>25</v>
      </c>
      <c r="D56" s="9" t="inlineStr">
        <is>
          <t>★ Explore Call Certification (Day 25)</t>
        </is>
      </c>
      <c r="E56" s="9" t="inlineStr">
        <is>
          <t>Pass a live Explore call against a standard payments persona</t>
        </is>
      </c>
      <c r="F56" s="9" t="inlineStr">
        <is>
          <t>Certification</t>
        </is>
      </c>
      <c r="G56" s="9" t="n">
        <v>45</v>
      </c>
      <c r="H56" s="9" t="inlineStr">
        <is>
          <t>Pod leads + Enablement</t>
        </is>
      </c>
      <c r="I56" s="9" t="inlineStr">
        <is>
          <t>To build</t>
        </is>
      </c>
      <c r="J56" s="9" t="inlineStr">
        <is>
          <t>Explore cert</t>
        </is>
      </c>
      <c r="K56" s="9" t="inlineStr">
        <is>
          <t>Run as a batch certification day. Retake by Day 35, with supplemental materials.</t>
        </is>
      </c>
      <c r="L56" s="9" t="inlineStr"/>
      <c r="M56" s="9" t="inlineStr"/>
      <c r="N56" s="10" t="inlineStr"/>
      <c r="O56" s="10" t="inlineStr"/>
    </row>
    <row r="57">
      <c r="A57" s="9" t="inlineStr">
        <is>
          <t>Days 1–30</t>
        </is>
      </c>
      <c r="B57" s="9" t="inlineStr">
        <is>
          <t>Week 6 · Mon</t>
        </is>
      </c>
      <c r="C57" s="9" t="n">
        <v>26</v>
      </c>
      <c r="D57" s="9" t="inlineStr">
        <is>
          <t>RAC Plans: NORAM</t>
        </is>
      </c>
      <c r="E57" s="9" t="inlineStr">
        <is>
          <t>Build your RAC plan and know your path to target</t>
        </is>
      </c>
      <c r="F57" s="9" t="inlineStr">
        <is>
          <t>Live</t>
        </is>
      </c>
      <c r="G57" s="9" t="n">
        <v>45</v>
      </c>
      <c r="H57" s="9" t="inlineStr">
        <is>
          <t>Michel Tornabene</t>
        </is>
      </c>
      <c r="I57" s="9" t="inlineStr">
        <is>
          <t>Ready today</t>
        </is>
      </c>
      <c r="J57" s="9" t="inlineStr"/>
      <c r="K57" s="9" t="inlineStr"/>
      <c r="L57" s="9" t="inlineStr">
        <is>
          <t>58</t>
        </is>
      </c>
      <c r="M57" s="9" t="inlineStr"/>
      <c r="N57" s="10" t="inlineStr"/>
      <c r="O57" s="10" t="inlineStr"/>
    </row>
    <row r="58">
      <c r="A58" s="9" t="inlineStr">
        <is>
          <t>Days 1–30</t>
        </is>
      </c>
      <c r="B58" s="9" t="inlineStr">
        <is>
          <t>Week 6 · Mon</t>
        </is>
      </c>
      <c r="C58" s="9" t="n">
        <v>26</v>
      </c>
      <c r="D58" s="9" t="inlineStr">
        <is>
          <t>Regional BPs &amp; Commercial Strategy (NORAM)</t>
        </is>
      </c>
      <c r="E58" s="9" t="inlineStr">
        <is>
          <t>Explain the NORAM strategy, which accounts we go after and how BPs help</t>
        </is>
      </c>
      <c r="F58" s="9" t="inlineStr">
        <is>
          <t>Live</t>
        </is>
      </c>
      <c r="G58" s="9" t="n">
        <v>45</v>
      </c>
      <c r="H58" s="9" t="inlineStr">
        <is>
          <t>Eliza Chew</t>
        </is>
      </c>
      <c r="I58" s="9" t="inlineStr">
        <is>
          <t>Ready today</t>
        </is>
      </c>
      <c r="J58" s="9" t="inlineStr"/>
      <c r="K58" s="9" t="inlineStr"/>
      <c r="L58" s="9" t="inlineStr">
        <is>
          <t>60</t>
        </is>
      </c>
      <c r="M58" s="9" t="inlineStr">
        <is>
          <t>Yes</t>
        </is>
      </c>
      <c r="N58" s="10" t="inlineStr"/>
      <c r="O58" s="10" t="inlineStr"/>
    </row>
    <row r="59">
      <c r="A59" s="9" t="inlineStr">
        <is>
          <t>Days 1–30</t>
        </is>
      </c>
      <c r="B59" s="9" t="inlineStr">
        <is>
          <t>Week 6 · Tue</t>
        </is>
      </c>
      <c r="C59" s="9" t="n">
        <v>27</v>
      </c>
      <c r="D59" s="9" t="inlineStr">
        <is>
          <t>Commercial OKRs</t>
        </is>
      </c>
      <c r="E59" s="9" t="inlineStr">
        <is>
          <t>Know the commercial OKRs and how your work ladders up</t>
        </is>
      </c>
      <c r="F59" s="9" t="inlineStr">
        <is>
          <t>Live</t>
        </is>
      </c>
      <c r="G59" s="9" t="n">
        <v>45</v>
      </c>
      <c r="H59" s="9" t="inlineStr">
        <is>
          <t>Nicole Molina</t>
        </is>
      </c>
      <c r="I59" s="9" t="inlineStr">
        <is>
          <t>Ready today</t>
        </is>
      </c>
      <c r="J59" s="9" t="inlineStr"/>
      <c r="K59" s="9" t="inlineStr"/>
      <c r="L59" s="9" t="inlineStr">
        <is>
          <t>59</t>
        </is>
      </c>
      <c r="M59" s="9" t="inlineStr">
        <is>
          <t>Yes</t>
        </is>
      </c>
      <c r="N59" s="10" t="inlineStr"/>
      <c r="O59" s="10" t="inlineStr"/>
    </row>
    <row r="60">
      <c r="A60" s="9" t="inlineStr">
        <is>
          <t>Days 1–30</t>
        </is>
      </c>
      <c r="B60" s="9" t="inlineStr">
        <is>
          <t>Week 6 · Tue</t>
        </is>
      </c>
      <c r="C60" s="9" t="n">
        <v>27</v>
      </c>
      <c r="D60" s="9" t="inlineStr">
        <is>
          <t>Intro to Commercial Product Partnership</t>
        </is>
      </c>
      <c r="E60" s="9" t="inlineStr">
        <is>
          <t>Know how to bring Product into a deal</t>
        </is>
      </c>
      <c r="F60" s="9" t="inlineStr">
        <is>
          <t>Live</t>
        </is>
      </c>
      <c r="G60" s="9" t="n">
        <v>30</v>
      </c>
      <c r="H60" s="9" t="inlineStr">
        <is>
          <t>Nicolas Maalouf</t>
        </is>
      </c>
      <c r="I60" s="9" t="inlineStr">
        <is>
          <t>Ready today</t>
        </is>
      </c>
      <c r="J60" s="9" t="inlineStr"/>
      <c r="K60" s="9" t="inlineStr"/>
      <c r="L60" s="9" t="inlineStr">
        <is>
          <t>62</t>
        </is>
      </c>
      <c r="M60" s="9" t="inlineStr"/>
      <c r="N60" s="10" t="inlineStr"/>
      <c r="O60" s="10" t="inlineStr"/>
    </row>
    <row r="61">
      <c r="A61" s="9" t="inlineStr">
        <is>
          <t>Days 1–30</t>
        </is>
      </c>
      <c r="B61" s="9" t="inlineStr">
        <is>
          <t>Week 6 · Wed</t>
        </is>
      </c>
      <c r="C61" s="9" t="n">
        <v>28</v>
      </c>
      <c r="D61" s="9" t="inlineStr">
        <is>
          <t>Deck dry run with buddy &amp; pod</t>
        </is>
      </c>
      <c r="E61" s="9" t="inlineStr">
        <is>
          <t>Rehearse your pitch and tighten it with feedback</t>
        </is>
      </c>
      <c r="F61" s="9" t="inlineStr">
        <is>
          <t>Practice</t>
        </is>
      </c>
      <c r="G61" s="9" t="n">
        <v>60</v>
      </c>
      <c r="H61" s="9" t="inlineStr">
        <is>
          <t>Buddy + pod</t>
        </is>
      </c>
      <c r="I61" s="9" t="inlineStr">
        <is>
          <t>To build</t>
        </is>
      </c>
      <c r="J61" s="9" t="inlineStr">
        <is>
          <t>Pitch cert</t>
        </is>
      </c>
      <c r="K61" s="9" t="inlineStr"/>
      <c r="L61" s="9" t="inlineStr"/>
      <c r="M61" s="9" t="inlineStr"/>
      <c r="N61" s="10" t="inlineStr"/>
      <c r="O61" s="10" t="inlineStr"/>
    </row>
    <row r="62">
      <c r="A62" s="9" t="inlineStr">
        <is>
          <t>Days 1–30</t>
        </is>
      </c>
      <c r="B62" s="9" t="inlineStr">
        <is>
          <t>Week 6 · Fri</t>
        </is>
      </c>
      <c r="C62" s="9" t="n">
        <v>30</v>
      </c>
      <c r="D62" s="9" t="inlineStr">
        <is>
          <t>★ Pitch Deck Certification (Day 30)</t>
        </is>
      </c>
      <c r="E62" s="9" t="inlineStr">
        <is>
          <t>Present a first-meeting deck for the standard case to a panel</t>
        </is>
      </c>
      <c r="F62" s="9" t="inlineStr">
        <is>
          <t>Certification</t>
        </is>
      </c>
      <c r="G62" s="9" t="n">
        <v>30</v>
      </c>
      <c r="H62" s="9" t="inlineStr">
        <is>
          <t>Pod leads + Enablement</t>
        </is>
      </c>
      <c r="I62" s="9" t="inlineStr">
        <is>
          <t>To build</t>
        </is>
      </c>
      <c r="J62" s="9" t="inlineStr">
        <is>
          <t>Pitch cert</t>
        </is>
      </c>
      <c r="K62" s="9" t="inlineStr">
        <is>
          <t>Run as a batch certification day. Retake by Day 35, with supplemental materials.</t>
        </is>
      </c>
      <c r="L62" s="9" t="inlineStr"/>
      <c r="M62" s="9" t="inlineStr"/>
      <c r="N62" s="10" t="inlineStr"/>
      <c r="O62" s="10" t="inlineStr"/>
    </row>
    <row r="63">
      <c r="A63" s="9" t="inlineStr">
        <is>
          <t>Days 1–30</t>
        </is>
      </c>
      <c r="B63" s="9" t="inlineStr">
        <is>
          <t>Week 6 · Fri</t>
        </is>
      </c>
      <c r="C63" s="9" t="n">
        <v>30</v>
      </c>
      <c r="D63" s="9" t="inlineStr">
        <is>
          <t>Day 30 review</t>
        </is>
      </c>
      <c r="E63" s="9" t="inlineStr">
        <is>
          <t>Agree certification results and your Days 31–60 plan with your manager</t>
        </is>
      </c>
      <c r="F63" s="9" t="inlineStr">
        <is>
          <t>Practice</t>
        </is>
      </c>
      <c r="G63" s="9" t="n">
        <v>30</v>
      </c>
      <c r="H63" s="9" t="inlineStr">
        <is>
          <t>Line manager</t>
        </is>
      </c>
      <c r="I63" s="9" t="inlineStr">
        <is>
          <t>To build</t>
        </is>
      </c>
      <c r="J63" s="9" t="inlineStr"/>
      <c r="K63" s="9" t="inlineStr"/>
      <c r="L63" s="9" t="inlineStr"/>
      <c r="M63" s="9" t="inlineStr"/>
      <c r="N63" s="10" t="inlineStr"/>
      <c r="O63" s="10" t="inlineStr"/>
    </row>
    <row r="64">
      <c r="A64" s="9" t="inlineStr">
        <is>
          <t>Days 31–60</t>
        </is>
      </c>
      <c r="B64" s="9" t="inlineStr">
        <is>
          <t>Week 7 · Mon</t>
        </is>
      </c>
      <c r="C64" s="9" t="n">
        <v>31</v>
      </c>
      <c r="D64" s="9" t="inlineStr">
        <is>
          <t>Certification retakes + supplemental materials (as needed)</t>
        </is>
      </c>
      <c r="E64" s="9" t="inlineStr">
        <is>
          <t>Close any certification gaps by Day 35</t>
        </is>
      </c>
      <c r="F64" s="9" t="inlineStr">
        <is>
          <t>Practice</t>
        </is>
      </c>
      <c r="G64" s="9" t="n">
        <v>60</v>
      </c>
      <c r="H64" s="9" t="inlineStr">
        <is>
          <t>Enablement</t>
        </is>
      </c>
      <c r="I64" s="9" t="inlineStr">
        <is>
          <t>To build</t>
        </is>
      </c>
      <c r="J64" s="9" t="inlineStr"/>
      <c r="K64" s="9" t="inlineStr">
        <is>
          <t>Only for AEs who need a retake. Everyone else keeps prospecting.</t>
        </is>
      </c>
      <c r="L64" s="9" t="inlineStr"/>
      <c r="M64" s="9" t="inlineStr"/>
      <c r="N64" s="10" t="inlineStr"/>
      <c r="O64" s="10" t="inlineStr"/>
    </row>
    <row r="65">
      <c r="A65" s="9" t="inlineStr">
        <is>
          <t>Days 31–60</t>
        </is>
      </c>
      <c r="B65" s="9" t="inlineStr">
        <is>
          <t>Week 7 · Mon</t>
        </is>
      </c>
      <c r="C65" s="9" t="n">
        <v>31</v>
      </c>
      <c r="D65" s="9" t="inlineStr">
        <is>
          <t>Intro to NORAM verticals &amp; where we win</t>
        </is>
      </c>
      <c r="E65" s="9" t="inlineStr">
        <is>
          <t>Name the NORAM verticals where Checkout wins, and why</t>
        </is>
      </c>
      <c r="F65" s="9" t="inlineStr">
        <is>
          <t>Live</t>
        </is>
      </c>
      <c r="G65" s="9" t="n">
        <v>45</v>
      </c>
      <c r="H65" s="9" t="inlineStr">
        <is>
          <t>Enablement</t>
        </is>
      </c>
      <c r="I65" s="9" t="inlineStr">
        <is>
          <t>Needs refresh</t>
        </is>
      </c>
      <c r="J65" s="9" t="inlineStr"/>
      <c r="K65" s="9" t="inlineStr">
        <is>
          <t>Pair this with the North America Vertical List.</t>
        </is>
      </c>
      <c r="L65" s="9" t="inlineStr"/>
      <c r="M65" s="9" t="inlineStr">
        <is>
          <t>Yes</t>
        </is>
      </c>
      <c r="N65" s="10" t="inlineStr"/>
      <c r="O65" s="10" t="inlineStr"/>
    </row>
    <row r="66">
      <c r="A66" s="9" t="inlineStr">
        <is>
          <t>Days 31–60</t>
        </is>
      </c>
      <c r="B66" s="9" t="inlineStr">
        <is>
          <t>Week 7 · Tue</t>
        </is>
      </c>
      <c r="C66" s="9" t="n">
        <v>32</v>
      </c>
      <c r="D66" s="9" t="inlineStr">
        <is>
          <t>Vertical deep dives: Digital Content and Ecommerce</t>
        </is>
      </c>
      <c r="E66" s="9" t="inlineStr">
        <is>
          <t>Prospect and qualify subscription, digital and ecommerce merchants</t>
        </is>
      </c>
      <c r="F66" s="9" t="inlineStr">
        <is>
          <t>Live</t>
        </is>
      </c>
      <c r="G66" s="9" t="n">
        <v>90</v>
      </c>
      <c r="H66" s="9" t="inlineStr">
        <is>
          <t>Jules Gay / Katie Wile</t>
        </is>
      </c>
      <c r="I66" s="9" t="inlineStr">
        <is>
          <t>Ready today</t>
        </is>
      </c>
      <c r="J66" s="9" t="inlineStr"/>
      <c r="K66" s="9" t="inlineStr"/>
      <c r="L66" s="9" t="inlineStr"/>
      <c r="M66" s="9" t="inlineStr">
        <is>
          <t>Yes</t>
        </is>
      </c>
      <c r="N66" s="10" t="inlineStr"/>
      <c r="O66" s="10" t="inlineStr"/>
    </row>
    <row r="67">
      <c r="A67" s="9" t="inlineStr">
        <is>
          <t>Days 31–60</t>
        </is>
      </c>
      <c r="B67" s="9" t="inlineStr">
        <is>
          <t>Week 7 · Thu</t>
        </is>
      </c>
      <c r="C67" s="9" t="n">
        <v>34</v>
      </c>
      <c r="D67" s="9" t="inlineStr">
        <is>
          <t>Vertical deep dives: Neobank &amp; Remittance, Consumer Lending &amp; Proptech</t>
        </is>
      </c>
      <c r="E67" s="9" t="inlineStr">
        <is>
          <t>Prospect and qualify fintech merchants (AFT/OCT use cases)</t>
        </is>
      </c>
      <c r="F67" s="9" t="inlineStr">
        <is>
          <t>Live</t>
        </is>
      </c>
      <c r="G67" s="9" t="n">
        <v>90</v>
      </c>
      <c r="H67" s="9" t="inlineStr">
        <is>
          <t>Olivia Smith / Octavio Balcazar</t>
        </is>
      </c>
      <c r="I67" s="9" t="inlineStr">
        <is>
          <t>Ready today</t>
        </is>
      </c>
      <c r="J67" s="9" t="inlineStr"/>
      <c r="K67" s="9" t="inlineStr"/>
      <c r="L67" s="9" t="inlineStr"/>
      <c r="M67" s="9" t="inlineStr">
        <is>
          <t>Yes</t>
        </is>
      </c>
      <c r="N67" s="10" t="inlineStr"/>
      <c r="O67" s="10" t="inlineStr"/>
    </row>
    <row r="68">
      <c r="A68" s="9" t="inlineStr">
        <is>
          <t>Days 31–60</t>
        </is>
      </c>
      <c r="B68" s="9" t="inlineStr">
        <is>
          <t>Week 7 · Fri</t>
        </is>
      </c>
      <c r="C68" s="9" t="n">
        <v>35</v>
      </c>
      <c r="D68" s="9" t="inlineStr">
        <is>
          <t>Build your prospecting cadence (Apollo)</t>
        </is>
      </c>
      <c r="E68" s="9" t="inlineStr">
        <is>
          <t>Launch a multi-touch cadence for your Top 70</t>
        </is>
      </c>
      <c r="F68" s="9" t="inlineStr">
        <is>
          <t>Practice</t>
        </is>
      </c>
      <c r="G68" s="9" t="n">
        <v>30</v>
      </c>
      <c r="H68" s="9" t="inlineStr">
        <is>
          <t>Ronak Bali</t>
        </is>
      </c>
      <c r="I68" s="9" t="inlineStr">
        <is>
          <t>Ready today</t>
        </is>
      </c>
      <c r="J68" s="9" t="inlineStr"/>
      <c r="K68" s="9" t="inlineStr"/>
      <c r="L68" s="9" t="inlineStr"/>
      <c r="M68" s="9" t="inlineStr">
        <is>
          <t>Yes</t>
        </is>
      </c>
      <c r="N68" s="10" t="inlineStr"/>
      <c r="O68" s="10" t="inlineStr"/>
    </row>
    <row r="69">
      <c r="A69" s="9" t="inlineStr">
        <is>
          <t>Days 31–60</t>
        </is>
      </c>
      <c r="B69" s="9" t="inlineStr">
        <is>
          <t>Week 8 · Mon</t>
        </is>
      </c>
      <c r="C69" s="9" t="n">
        <v>36</v>
      </c>
      <c r="D69" s="9" t="inlineStr">
        <is>
          <t>Underwriting Overview NORAM</t>
        </is>
      </c>
      <c r="E69" s="9" t="inlineStr">
        <is>
          <t>Know what underwriting needs and how to avoid delays</t>
        </is>
      </c>
      <c r="F69" s="9" t="inlineStr">
        <is>
          <t>Live</t>
        </is>
      </c>
      <c r="G69" s="9" t="n">
        <v>60</v>
      </c>
      <c r="H69" s="9" t="inlineStr">
        <is>
          <t>Jack Pontarelli</t>
        </is>
      </c>
      <c r="I69" s="9" t="inlineStr">
        <is>
          <t>Ready today</t>
        </is>
      </c>
      <c r="J69" s="9" t="inlineStr"/>
      <c r="K69" s="9" t="inlineStr"/>
      <c r="L69" s="9" t="inlineStr">
        <is>
          <t>52</t>
        </is>
      </c>
      <c r="M69" s="9" t="inlineStr"/>
      <c r="N69" s="10" t="inlineStr"/>
      <c r="O69" s="10" t="inlineStr"/>
    </row>
    <row r="70">
      <c r="A70" s="9" t="inlineStr">
        <is>
          <t>Days 31–60</t>
        </is>
      </c>
      <c r="B70" s="9" t="inlineStr">
        <is>
          <t>Week 8 · Tue</t>
        </is>
      </c>
      <c r="C70" s="9" t="n">
        <v>37</v>
      </c>
      <c r="D70" s="9" t="inlineStr">
        <is>
          <t>Intro to Pricing (NORAM)</t>
        </is>
      </c>
      <c r="E70" s="9" t="inlineStr">
        <is>
          <t>Explain how Checkout prices and who approves it</t>
        </is>
      </c>
      <c r="F70" s="9" t="inlineStr">
        <is>
          <t>Live</t>
        </is>
      </c>
      <c r="G70" s="9" t="n">
        <v>30</v>
      </c>
      <c r="H70" s="9" t="inlineStr">
        <is>
          <t>TBD with team lead</t>
        </is>
      </c>
      <c r="I70" s="9" t="inlineStr">
        <is>
          <t>To build</t>
        </is>
      </c>
      <c r="J70" s="9" t="inlineStr"/>
      <c r="K70" s="9" t="inlineStr">
        <is>
          <t>Exists for UK/EEA only today (catalogue #46). Build a NORAM version.</t>
        </is>
      </c>
      <c r="L70" s="9" t="inlineStr">
        <is>
          <t>46 (UK/EEA)</t>
        </is>
      </c>
      <c r="M70" s="9" t="inlineStr"/>
      <c r="N70" s="10" t="inlineStr"/>
      <c r="O70" s="10" t="inlineStr"/>
    </row>
    <row r="71">
      <c r="A71" s="9" t="inlineStr">
        <is>
          <t>Days 31–60</t>
        </is>
      </c>
      <c r="B71" s="9" t="inlineStr">
        <is>
          <t>Week 8 · Wed</t>
        </is>
      </c>
      <c r="C71" s="9" t="n">
        <v>38</v>
      </c>
      <c r="D71" s="9" t="inlineStr">
        <is>
          <t>Partner ecosystem: who we sell with and how</t>
        </is>
      </c>
      <c r="E71" s="9" t="inlineStr">
        <is>
          <t>Spot partner opportunities (orchestration, ERP, fraud, platforms)</t>
        </is>
      </c>
      <c r="F71" s="9" t="inlineStr">
        <is>
          <t>Live</t>
        </is>
      </c>
      <c r="G71" s="9" t="n">
        <v>60</v>
      </c>
      <c r="H71" s="9" t="inlineStr">
        <is>
          <t>Jim Cho / Francesco Falcone / Jaime Yeager</t>
        </is>
      </c>
      <c r="I71" s="9" t="inlineStr">
        <is>
          <t>Ready today</t>
        </is>
      </c>
      <c r="J71" s="9" t="inlineStr"/>
      <c r="K71" s="9" t="inlineStr"/>
      <c r="L71" s="9" t="inlineStr"/>
      <c r="M71" s="9" t="inlineStr"/>
      <c r="N71" s="10" t="inlineStr"/>
      <c r="O71" s="10" t="inlineStr"/>
    </row>
    <row r="72">
      <c r="A72" s="9" t="inlineStr">
        <is>
          <t>Days 31–60</t>
        </is>
      </c>
      <c r="B72" s="9" t="inlineStr">
        <is>
          <t>Week 8 · Wed</t>
        </is>
      </c>
      <c r="C72" s="9" t="n">
        <v>38</v>
      </c>
      <c r="D72" s="9" t="inlineStr">
        <is>
          <t>ISV, Marketplace &amp; MoR deep dive</t>
        </is>
      </c>
      <c r="E72" s="9" t="inlineStr">
        <is>
          <t>Qualify platform and marketplace deals</t>
        </is>
      </c>
      <c r="F72" s="9" t="inlineStr">
        <is>
          <t>Live</t>
        </is>
      </c>
      <c r="G72" s="9" t="n">
        <v>30</v>
      </c>
      <c r="H72" s="9" t="inlineStr">
        <is>
          <t>Michael Taylor</t>
        </is>
      </c>
      <c r="I72" s="9" t="inlineStr">
        <is>
          <t>Ready today</t>
        </is>
      </c>
      <c r="J72" s="9" t="inlineStr"/>
      <c r="K72" s="9" t="inlineStr"/>
      <c r="L72" s="9" t="inlineStr"/>
      <c r="M72" s="9" t="inlineStr"/>
      <c r="N72" s="10" t="inlineStr"/>
      <c r="O72" s="10" t="inlineStr"/>
    </row>
    <row r="73">
      <c r="A73" s="9" t="inlineStr">
        <is>
          <t>Days 31–60</t>
        </is>
      </c>
      <c r="B73" s="9" t="inlineStr">
        <is>
          <t>Week 8 · Thu</t>
        </is>
      </c>
      <c r="C73" s="9" t="n">
        <v>39</v>
      </c>
      <c r="D73" s="9" t="inlineStr">
        <is>
          <t>Payment performance metrics that matter</t>
        </is>
      </c>
      <c r="E73" s="9" t="inlineStr">
        <is>
          <t>Quantify auth rates, declines, tokens and cost in a merchant's numbers</t>
        </is>
      </c>
      <c r="F73" s="9" t="inlineStr">
        <is>
          <t>Live</t>
        </is>
      </c>
      <c r="G73" s="9" t="n">
        <v>60</v>
      </c>
      <c r="H73" s="9" t="inlineStr">
        <is>
          <t>Solutions Engineering + Product</t>
        </is>
      </c>
      <c r="I73" s="9" t="inlineStr">
        <is>
          <t>To build</t>
        </is>
      </c>
      <c r="J73" s="9" t="inlineStr"/>
      <c r="K73" s="9" t="inlineStr">
        <is>
          <t>Builds on the Decline Code and PPA cheat sheets.</t>
        </is>
      </c>
      <c r="L73" s="9" t="inlineStr"/>
      <c r="M73" s="9" t="inlineStr"/>
      <c r="N73" s="10" t="inlineStr"/>
      <c r="O73" s="10" t="inlineStr"/>
    </row>
    <row r="74">
      <c r="A74" s="9" t="inlineStr">
        <is>
          <t>Days 31–60</t>
        </is>
      </c>
      <c r="B74" s="9" t="inlineStr">
        <is>
          <t>Week 9 · Mon</t>
        </is>
      </c>
      <c r="C74" s="9" t="n">
        <v>41</v>
      </c>
      <c r="D74" s="9" t="inlineStr">
        <is>
          <t>Pay to Card, Pay to Bank &amp; FX</t>
        </is>
      </c>
      <c r="E74" s="9" t="inlineStr">
        <is>
          <t>Position payouts and FX with real use cases</t>
        </is>
      </c>
      <c r="F74" s="9" t="inlineStr">
        <is>
          <t>Live</t>
        </is>
      </c>
      <c r="G74" s="9" t="n">
        <v>60</v>
      </c>
      <c r="H74" s="9" t="inlineStr">
        <is>
          <t>Olivia Smith</t>
        </is>
      </c>
      <c r="I74" s="9" t="inlineStr">
        <is>
          <t>Ready today</t>
        </is>
      </c>
      <c r="J74" s="9" t="inlineStr"/>
      <c r="K74" s="9" t="inlineStr"/>
      <c r="L74" s="9" t="inlineStr"/>
      <c r="M74" s="9" t="inlineStr"/>
      <c r="N74" s="10" t="inlineStr"/>
      <c r="O74" s="10" t="inlineStr"/>
    </row>
    <row r="75">
      <c r="A75" s="9" t="inlineStr">
        <is>
          <t>Days 31–60</t>
        </is>
      </c>
      <c r="B75" s="9" t="inlineStr">
        <is>
          <t>Week 9 · Tue</t>
        </is>
      </c>
      <c r="C75" s="9" t="n">
        <v>42</v>
      </c>
      <c r="D75" s="9" t="inlineStr">
        <is>
          <t>Visa Direct: AFTs &amp; card payouts</t>
        </is>
      </c>
      <c r="E75" s="9" t="inlineStr">
        <is>
          <t>Explain AFTs and card payouts with Visa Direct</t>
        </is>
      </c>
      <c r="F75" s="9" t="inlineStr">
        <is>
          <t>Live</t>
        </is>
      </c>
      <c r="G75" s="9" t="n">
        <v>30</v>
      </c>
      <c r="H75" s="9" t="inlineStr">
        <is>
          <t>Sydney</t>
        </is>
      </c>
      <c r="I75" s="9" t="inlineStr">
        <is>
          <t>Needs refresh</t>
        </is>
      </c>
      <c r="J75" s="9" t="inlineStr"/>
      <c r="K75" s="9" t="inlineStr">
        <is>
          <t>Paused while partnership terms are revamped.</t>
        </is>
      </c>
      <c r="L75" s="9" t="inlineStr"/>
      <c r="M75" s="9" t="inlineStr"/>
      <c r="N75" s="10" t="inlineStr"/>
      <c r="O75" s="10" t="inlineStr"/>
    </row>
    <row r="76">
      <c r="A76" s="9" t="inlineStr">
        <is>
          <t>Days 31–60</t>
        </is>
      </c>
      <c r="B76" s="9" t="inlineStr">
        <is>
          <t>Week 9 · Wed</t>
        </is>
      </c>
      <c r="C76" s="9" t="n">
        <v>43</v>
      </c>
      <c r="D76" s="9" t="inlineStr">
        <is>
          <t>Technical integration &amp; merchant onboarding experience</t>
        </is>
      </c>
      <c r="E76" s="9" t="inlineStr">
        <is>
          <t>Explain integration timelines, sandbox and go-live</t>
        </is>
      </c>
      <c r="F76" s="9" t="inlineStr">
        <is>
          <t>Live</t>
        </is>
      </c>
      <c r="G76" s="9" t="n">
        <v>30</v>
      </c>
      <c r="H76" s="9" t="inlineStr">
        <is>
          <t>Michael Taylor + Faith Bergman</t>
        </is>
      </c>
      <c r="I76" s="9" t="inlineStr">
        <is>
          <t>Ready today</t>
        </is>
      </c>
      <c r="J76" s="9" t="inlineStr"/>
      <c r="K76" s="9" t="inlineStr"/>
      <c r="L76" s="9" t="inlineStr"/>
      <c r="M76" s="9" t="inlineStr"/>
      <c r="N76" s="10" t="inlineStr"/>
      <c r="O76" s="10" t="inlineStr"/>
    </row>
    <row r="77">
      <c r="A77" s="9" t="inlineStr">
        <is>
          <t>Days 31–60</t>
        </is>
      </c>
      <c r="B77" s="9" t="inlineStr">
        <is>
          <t>Week 9 · Thu</t>
        </is>
      </c>
      <c r="C77" s="9" t="n">
        <v>44</v>
      </c>
      <c r="D77" s="9" t="inlineStr">
        <is>
          <t>RevWay 6–7: Questioning, funnel technique &amp; listening</t>
        </is>
      </c>
      <c r="E77" s="9" t="inlineStr">
        <is>
          <t>Deepen discovery with funnelling, listening and summarising</t>
        </is>
      </c>
      <c r="F77" s="9" t="inlineStr">
        <is>
          <t>Self-paced</t>
        </is>
      </c>
      <c r="G77" s="9" t="n">
        <v>180</v>
      </c>
      <c r="H77" s="9" t="inlineStr">
        <is>
          <t>Self-directed</t>
        </is>
      </c>
      <c r="I77" s="9" t="inlineStr">
        <is>
          <t>Ready today</t>
        </is>
      </c>
      <c r="J77" s="9" t="inlineStr"/>
      <c r="K77" s="9" t="inlineStr"/>
      <c r="L77" s="9" t="inlineStr"/>
      <c r="M77" s="9" t="inlineStr"/>
      <c r="N77" s="10" t="inlineStr"/>
      <c r="O77" s="10" t="inlineStr"/>
    </row>
    <row r="78">
      <c r="A78" s="9" t="inlineStr">
        <is>
          <t>Days 31–60</t>
        </is>
      </c>
      <c r="B78" s="9" t="inlineStr">
        <is>
          <t>Week 9 · Fri</t>
        </is>
      </c>
      <c r="C78" s="9" t="n">
        <v>45</v>
      </c>
      <c r="D78" s="9" t="inlineStr">
        <is>
          <t>Canada &amp; the Canadian market</t>
        </is>
      </c>
      <c r="E78" s="9" t="inlineStr">
        <is>
          <t>Prospect Canadian merchants with the right context</t>
        </is>
      </c>
      <c r="F78" s="9" t="inlineStr">
        <is>
          <t>Live</t>
        </is>
      </c>
      <c r="G78" s="9" t="n">
        <v>30</v>
      </c>
      <c r="H78" s="9" t="inlineStr">
        <is>
          <t>Yousef Almawy</t>
        </is>
      </c>
      <c r="I78" s="9" t="inlineStr">
        <is>
          <t>Ready today</t>
        </is>
      </c>
      <c r="J78" s="9" t="inlineStr"/>
      <c r="K78" s="9" t="inlineStr"/>
      <c r="L78" s="9" t="inlineStr"/>
      <c r="M78" s="9" t="inlineStr"/>
      <c r="N78" s="10" t="inlineStr"/>
      <c r="O78" s="10" t="inlineStr"/>
    </row>
    <row r="79">
      <c r="A79" s="9" t="inlineStr">
        <is>
          <t>Days 31–60</t>
        </is>
      </c>
      <c r="B79" s="9" t="inlineStr">
        <is>
          <t>Week 10 · Tue</t>
        </is>
      </c>
      <c r="C79" s="9" t="n">
        <v>47</v>
      </c>
      <c r="D79" s="9" t="inlineStr">
        <is>
          <t>Voice of the customer: Head of Payments panel</t>
        </is>
      </c>
      <c r="E79" s="9" t="inlineStr">
        <is>
          <t>Hear from Heads of Payments what resonates and what doesn't</t>
        </is>
      </c>
      <c r="F79" s="9" t="inlineStr">
        <is>
          <t>Live</t>
        </is>
      </c>
      <c r="G79" s="9" t="n">
        <v>90</v>
      </c>
      <c r="H79" s="9" t="inlineStr">
        <is>
          <t>Jaime Yeager / Jim Cho</t>
        </is>
      </c>
      <c r="I79" s="9" t="inlineStr">
        <is>
          <t>To build</t>
        </is>
      </c>
      <c r="J79" s="9" t="inlineStr"/>
      <c r="K79" s="9" t="inlineStr">
        <is>
          <t>Planned before but never scheduled.</t>
        </is>
      </c>
      <c r="L79" s="9" t="inlineStr"/>
      <c r="M79" s="9" t="inlineStr"/>
      <c r="N79" s="10" t="inlineStr"/>
      <c r="O79" s="10" t="inlineStr"/>
    </row>
    <row r="80">
      <c r="A80" s="9" t="inlineStr">
        <is>
          <t>Days 31–60</t>
        </is>
      </c>
      <c r="B80" s="9" t="inlineStr">
        <is>
          <t>Week 10 · Wed</t>
        </is>
      </c>
      <c r="C80" s="9" t="n">
        <v>48</v>
      </c>
      <c r="D80" s="9" t="inlineStr">
        <is>
          <t>Top-rep Q&amp;A, every two weeks</t>
        </is>
      </c>
      <c r="E80" s="9" t="inlineStr">
        <is>
          <t>Learn habits from top reps (Sam B, Louis Taupin)</t>
        </is>
      </c>
      <c r="F80" s="9" t="inlineStr">
        <is>
          <t>Live</t>
        </is>
      </c>
      <c r="G80" s="9" t="n">
        <v>30</v>
      </c>
      <c r="H80" s="9" t="inlineStr">
        <is>
          <t>Sam Boukhiam / Louis Taupin</t>
        </is>
      </c>
      <c r="I80" s="9" t="inlineStr">
        <is>
          <t>To build</t>
        </is>
      </c>
      <c r="J80" s="9" t="inlineStr"/>
      <c r="K80" s="9" t="inlineStr">
        <is>
          <t>Planned before but never started.</t>
        </is>
      </c>
      <c r="L80" s="9" t="inlineStr"/>
      <c r="M80" s="9" t="inlineStr">
        <is>
          <t>Yes</t>
        </is>
      </c>
      <c r="N80" s="10" t="inlineStr"/>
      <c r="O80" s="10" t="inlineStr"/>
    </row>
    <row r="81">
      <c r="A81" s="9" t="inlineStr">
        <is>
          <t>Days 31–60</t>
        </is>
      </c>
      <c r="B81" s="9" t="inlineStr">
        <is>
          <t>Week 10 · Thu</t>
        </is>
      </c>
      <c r="C81" s="9" t="n">
        <v>49</v>
      </c>
      <c r="D81" s="9" t="inlineStr">
        <is>
          <t>Vertical deep dives: Insurance and Gaming &amp; Gambling</t>
        </is>
      </c>
      <c r="E81" s="9" t="inlineStr">
        <is>
          <t>Qualify insurance and gaming merchants</t>
        </is>
      </c>
      <c r="F81" s="9" t="inlineStr">
        <is>
          <t>Live</t>
        </is>
      </c>
      <c r="G81" s="9" t="n">
        <v>60</v>
      </c>
      <c r="H81" s="9" t="inlineStr">
        <is>
          <t>Olivia Smith / Aaron Popack</t>
        </is>
      </c>
      <c r="I81" s="9" t="inlineStr">
        <is>
          <t>Needs refresh</t>
        </is>
      </c>
      <c r="J81" s="9" t="inlineStr"/>
      <c r="K81" s="9" t="inlineStr">
        <is>
          <t>On hold. Run Insurance virtually first.</t>
        </is>
      </c>
      <c r="L81" s="9" t="inlineStr"/>
      <c r="M81" s="9" t="inlineStr"/>
      <c r="N81" s="10" t="inlineStr"/>
      <c r="O81" s="10" t="inlineStr"/>
    </row>
    <row r="82">
      <c r="A82" s="9" t="inlineStr">
        <is>
          <t>Days 31–60</t>
        </is>
      </c>
      <c r="B82" s="9" t="inlineStr">
        <is>
          <t>Week 10 · Fri</t>
        </is>
      </c>
      <c r="C82" s="9" t="n">
        <v>50</v>
      </c>
      <c r="D82" s="9" t="inlineStr">
        <is>
          <t>Competitive deal clinic + refreshed battlecards</t>
        </is>
      </c>
      <c r="E82" s="9" t="inlineStr">
        <is>
          <t>Win head-to-head against the incumbent</t>
        </is>
      </c>
      <c r="F82" s="9" t="inlineStr">
        <is>
          <t>Live</t>
        </is>
      </c>
      <c r="G82" s="9" t="n">
        <v>60</v>
      </c>
      <c r="H82" s="9" t="inlineStr">
        <is>
          <t>Jim Cho</t>
        </is>
      </c>
      <c r="I82" s="9" t="inlineStr">
        <is>
          <t>Needs refresh</t>
        </is>
      </c>
      <c r="J82" s="9" t="inlineStr"/>
      <c r="K82" s="9" t="inlineStr">
        <is>
          <t>'Why Checkout Wins' battlecard is outdated; release refreshed cards with this session.</t>
        </is>
      </c>
      <c r="L82" s="9" t="inlineStr"/>
      <c r="M82" s="9" t="inlineStr">
        <is>
          <t>Yes</t>
        </is>
      </c>
      <c r="N82" s="10" t="inlineStr"/>
      <c r="O82" s="10" t="inlineStr"/>
    </row>
    <row r="83">
      <c r="A83" s="9" t="inlineStr">
        <is>
          <t>Days 31–60</t>
        </is>
      </c>
      <c r="B83" s="9" t="inlineStr">
        <is>
          <t>Week 11 · Mon</t>
        </is>
      </c>
      <c r="C83" s="9" t="n">
        <v>51</v>
      </c>
      <c r="D83" s="9" t="inlineStr">
        <is>
          <t>Regional Deal Management Best Practice: NORAM</t>
        </is>
      </c>
      <c r="E83" s="9" t="inlineStr">
        <is>
          <t>Handle DSRs, Ironclad, NDAs and MAFs without delays</t>
        </is>
      </c>
      <c r="F83" s="9" t="inlineStr">
        <is>
          <t>Live</t>
        </is>
      </c>
      <c r="G83" s="9" t="n">
        <v>60</v>
      </c>
      <c r="H83" s="9" t="inlineStr">
        <is>
          <t>Faith Bergman</t>
        </is>
      </c>
      <c r="I83" s="9" t="inlineStr">
        <is>
          <t>Ready today</t>
        </is>
      </c>
      <c r="J83" s="9" t="inlineStr"/>
      <c r="K83" s="9" t="inlineStr"/>
      <c r="L83" s="9" t="inlineStr">
        <is>
          <t>68</t>
        </is>
      </c>
      <c r="M83" s="9" t="inlineStr"/>
      <c r="N83" s="10" t="inlineStr"/>
      <c r="O83" s="10" t="inlineStr"/>
    </row>
    <row r="84">
      <c r="A84" s="9" t="inlineStr">
        <is>
          <t>Days 31–60</t>
        </is>
      </c>
      <c r="B84" s="9" t="inlineStr">
        <is>
          <t>Week 11 · Wed</t>
        </is>
      </c>
      <c r="C84" s="9" t="n">
        <v>53</v>
      </c>
      <c r="D84" s="9" t="inlineStr">
        <is>
          <t>Role play with your pod lead</t>
        </is>
      </c>
      <c r="E84" s="9" t="inlineStr">
        <is>
          <t>Practise a live deal scenario and get coaching</t>
        </is>
      </c>
      <c r="F84" s="9" t="inlineStr">
        <is>
          <t>Practice</t>
        </is>
      </c>
      <c r="G84" s="9" t="n">
        <v>30</v>
      </c>
      <c r="H84" s="9" t="inlineStr">
        <is>
          <t>Pod leads</t>
        </is>
      </c>
      <c r="I84" s="9" t="inlineStr">
        <is>
          <t>Ready today</t>
        </is>
      </c>
      <c r="J84" s="9" t="inlineStr"/>
      <c r="K84" s="9" t="inlineStr"/>
      <c r="L84" s="9" t="inlineStr"/>
      <c r="M84" s="9" t="inlineStr"/>
      <c r="N84" s="10" t="inlineStr"/>
      <c r="O84" s="10" t="inlineStr"/>
    </row>
    <row r="85">
      <c r="A85" s="9" t="inlineStr">
        <is>
          <t>Days 31–60</t>
        </is>
      </c>
      <c r="B85" s="9" t="inlineStr">
        <is>
          <t>Week 11 · Thu</t>
        </is>
      </c>
      <c r="C85" s="9" t="n">
        <v>54</v>
      </c>
      <c r="D85" s="9" t="inlineStr">
        <is>
          <t>Working with Marketing &amp; the Strategic Accounts Team</t>
        </is>
      </c>
      <c r="E85" s="9" t="inlineStr">
        <is>
          <t>Bring Marketing and SAT into your deals</t>
        </is>
      </c>
      <c r="F85" s="9" t="inlineStr">
        <is>
          <t>Live</t>
        </is>
      </c>
      <c r="G85" s="9" t="n">
        <v>60</v>
      </c>
      <c r="H85" s="9" t="inlineStr">
        <is>
          <t>Marketing + Cyril Chemla</t>
        </is>
      </c>
      <c r="I85" s="9" t="inlineStr">
        <is>
          <t>Ready today</t>
        </is>
      </c>
      <c r="J85" s="9" t="inlineStr"/>
      <c r="K85" s="9" t="inlineStr"/>
      <c r="L85" s="9" t="inlineStr"/>
      <c r="M85" s="9" t="inlineStr"/>
      <c r="N85" s="10" t="inlineStr"/>
      <c r="O85" s="10" t="inlineStr"/>
    </row>
    <row r="86">
      <c r="A86" s="9" t="inlineStr">
        <is>
          <t>Days 31–60</t>
        </is>
      </c>
      <c r="B86" s="9" t="inlineStr">
        <is>
          <t>Week 12 · Wed</t>
        </is>
      </c>
      <c r="C86" s="9" t="n">
        <v>58</v>
      </c>
      <c r="D86" s="9" t="inlineStr">
        <is>
          <t>Follow the Flow · Authorise: Deal Desk</t>
        </is>
      </c>
      <c r="E86" s="9" t="inlineStr">
        <is>
          <t>Get your deal's structure and pricing approved</t>
        </is>
      </c>
      <c r="F86" s="9" t="inlineStr">
        <is>
          <t>Practice</t>
        </is>
      </c>
      <c r="G86" s="9" t="n">
        <v>30</v>
      </c>
      <c r="H86" s="9" t="inlineStr">
        <is>
          <t>Faith Bergman</t>
        </is>
      </c>
      <c r="I86" s="9" t="inlineStr">
        <is>
          <t>To build</t>
        </is>
      </c>
      <c r="J86" s="9" t="inlineStr">
        <is>
          <t>Follow the Flow</t>
        </is>
      </c>
      <c r="K86" s="9" t="inlineStr">
        <is>
          <t>Station in the Follow the Flow workshop.</t>
        </is>
      </c>
      <c r="L86" s="9" t="inlineStr"/>
      <c r="M86" s="9" t="inlineStr"/>
      <c r="N86" s="10" t="inlineStr"/>
      <c r="O86" s="10" t="inlineStr"/>
    </row>
    <row r="87">
      <c r="A87" s="9" t="inlineStr">
        <is>
          <t>Days 31–60</t>
        </is>
      </c>
      <c r="B87" s="9" t="inlineStr">
        <is>
          <t>Week 12 · Wed</t>
        </is>
      </c>
      <c r="C87" s="9" t="n">
        <v>58</v>
      </c>
      <c r="D87" s="9" t="inlineStr">
        <is>
          <t>Follow the Flow · Risk check: Underwriting</t>
        </is>
      </c>
      <c r="E87" s="9" t="inlineStr">
        <is>
          <t>Prepare a submittal that gets approved fast</t>
        </is>
      </c>
      <c r="F87" s="9" t="inlineStr">
        <is>
          <t>Practice</t>
        </is>
      </c>
      <c r="G87" s="9" t="n">
        <v>30</v>
      </c>
      <c r="H87" s="9" t="inlineStr">
        <is>
          <t>Underwriting</t>
        </is>
      </c>
      <c r="I87" s="9" t="inlineStr">
        <is>
          <t>To build</t>
        </is>
      </c>
      <c r="J87" s="9" t="inlineStr">
        <is>
          <t>Follow the Flow</t>
        </is>
      </c>
      <c r="K87" s="9" t="inlineStr">
        <is>
          <t>Station in the Follow the Flow workshop.</t>
        </is>
      </c>
      <c r="L87" s="9" t="inlineStr"/>
      <c r="M87" s="9" t="inlineStr"/>
      <c r="N87" s="10" t="inlineStr"/>
      <c r="O87" s="10" t="inlineStr"/>
    </row>
    <row r="88">
      <c r="A88" s="9" t="inlineStr">
        <is>
          <t>Days 31–60</t>
        </is>
      </c>
      <c r="B88" s="9" t="inlineStr">
        <is>
          <t>Week 12 · Wed</t>
        </is>
      </c>
      <c r="C88" s="9" t="n">
        <v>58</v>
      </c>
      <c r="D88" s="9" t="inlineStr">
        <is>
          <t>Follow the Flow · Tokenise &amp; integrate: Solutions Engineering</t>
        </is>
      </c>
      <c r="E88" s="9" t="inlineStr">
        <is>
          <t>Scope the integration for your prospect</t>
        </is>
      </c>
      <c r="F88" s="9" t="inlineStr">
        <is>
          <t>Practice</t>
        </is>
      </c>
      <c r="G88" s="9" t="n">
        <v>30</v>
      </c>
      <c r="H88" s="9" t="inlineStr">
        <is>
          <t>TBD with team lead</t>
        </is>
      </c>
      <c r="I88" s="9" t="inlineStr">
        <is>
          <t>To build</t>
        </is>
      </c>
      <c r="J88" s="9" t="inlineStr">
        <is>
          <t>Follow the Flow</t>
        </is>
      </c>
      <c r="K88" s="9" t="inlineStr">
        <is>
          <t>Station in the Follow the Flow workshop. Also covers the NORAM gap intro for this team (UK/EEA-only in the catalogue).</t>
        </is>
      </c>
      <c r="L88" s="9" t="inlineStr">
        <is>
          <t>45 (UK/EEA)</t>
        </is>
      </c>
      <c r="M88" s="9" t="inlineStr"/>
      <c r="N88" s="10" t="inlineStr"/>
      <c r="O88" s="10" t="inlineStr"/>
    </row>
    <row r="89">
      <c r="A89" s="9" t="inlineStr">
        <is>
          <t>Days 31–60</t>
        </is>
      </c>
      <c r="B89" s="9" t="inlineStr">
        <is>
          <t>Week 12 · Wed</t>
        </is>
      </c>
      <c r="C89" s="9" t="n">
        <v>58</v>
      </c>
      <c r="D89" s="9" t="inlineStr">
        <is>
          <t>Follow the Flow · Route: Partnerships + Financial Partnerships</t>
        </is>
      </c>
      <c r="E89" s="9" t="inlineStr">
        <is>
          <t>Find the partner angle in your deal</t>
        </is>
      </c>
      <c r="F89" s="9" t="inlineStr">
        <is>
          <t>Practice</t>
        </is>
      </c>
      <c r="G89" s="9" t="n">
        <v>30</v>
      </c>
      <c r="H89" s="9" t="inlineStr">
        <is>
          <t>TBD with team lead</t>
        </is>
      </c>
      <c r="I89" s="9" t="inlineStr">
        <is>
          <t>To build</t>
        </is>
      </c>
      <c r="J89" s="9" t="inlineStr">
        <is>
          <t>Follow the Flow</t>
        </is>
      </c>
      <c r="K89" s="9" t="inlineStr">
        <is>
          <t>Station in the Follow the Flow workshop. Also covers the NORAM gap intro for this team (UK/EEA-only in the catalogue).</t>
        </is>
      </c>
      <c r="L89" s="9" t="inlineStr">
        <is>
          <t>43 (UK/EEA)</t>
        </is>
      </c>
      <c r="M89" s="9" t="inlineStr"/>
      <c r="N89" s="10" t="inlineStr"/>
      <c r="O89" s="10" t="inlineStr"/>
    </row>
    <row r="90">
      <c r="A90" s="9" t="inlineStr">
        <is>
          <t>Days 31–60</t>
        </is>
      </c>
      <c r="B90" s="9" t="inlineStr">
        <is>
          <t>Week 12 · Wed</t>
        </is>
      </c>
      <c r="C90" s="9" t="n">
        <v>58</v>
      </c>
      <c r="D90" s="9" t="inlineStr">
        <is>
          <t>Follow the Flow · Settle: Account Management</t>
        </is>
      </c>
      <c r="E90" s="9" t="inlineStr">
        <is>
          <t>Plan a clean handover from signature to go-live</t>
        </is>
      </c>
      <c r="F90" s="9" t="inlineStr">
        <is>
          <t>Practice</t>
        </is>
      </c>
      <c r="G90" s="9" t="n">
        <v>30</v>
      </c>
      <c r="H90" s="9" t="inlineStr">
        <is>
          <t>TBD with team lead</t>
        </is>
      </c>
      <c r="I90" s="9" t="inlineStr">
        <is>
          <t>To build</t>
        </is>
      </c>
      <c r="J90" s="9" t="inlineStr">
        <is>
          <t>Follow the Flow</t>
        </is>
      </c>
      <c r="K90" s="9" t="inlineStr">
        <is>
          <t>Station in the Follow the Flow workshop. Also covers the NORAM gap intro for this team (UK/EEA-only in the catalogue).</t>
        </is>
      </c>
      <c r="L90" s="9" t="inlineStr">
        <is>
          <t>44 (UK/EEA)</t>
        </is>
      </c>
      <c r="M90" s="9" t="inlineStr"/>
      <c r="N90" s="10" t="inlineStr"/>
      <c r="O90" s="10" t="inlineStr"/>
    </row>
    <row r="91">
      <c r="A91" s="9" t="inlineStr">
        <is>
          <t>Days 31–60</t>
        </is>
      </c>
      <c r="B91" s="9" t="inlineStr">
        <is>
          <t>Week 12 · Wed</t>
        </is>
      </c>
      <c r="C91" s="9" t="n">
        <v>58</v>
      </c>
      <c r="D91" s="9" t="inlineStr">
        <is>
          <t>Follow the Flow · Reconcile: RevOps &amp; BDR</t>
        </is>
      </c>
      <c r="E91" s="9" t="inlineStr">
        <is>
          <t>Tidy your pipeline and plan with your BDR</t>
        </is>
      </c>
      <c r="F91" s="9" t="inlineStr">
        <is>
          <t>Practice</t>
        </is>
      </c>
      <c r="G91" s="9" t="n">
        <v>30</v>
      </c>
      <c r="H91" s="9" t="inlineStr">
        <is>
          <t>Sandra Suen</t>
        </is>
      </c>
      <c r="I91" s="9" t="inlineStr">
        <is>
          <t>To build</t>
        </is>
      </c>
      <c r="J91" s="9" t="inlineStr">
        <is>
          <t>Follow the Flow</t>
        </is>
      </c>
      <c r="K91" s="9" t="inlineStr">
        <is>
          <t>Station in the Follow the Flow workshop.</t>
        </is>
      </c>
      <c r="L91" s="9" t="inlineStr"/>
      <c r="M91" s="9" t="inlineStr"/>
      <c r="N91" s="10" t="inlineStr"/>
      <c r="O91" s="10" t="inlineStr"/>
    </row>
    <row r="92">
      <c r="A92" s="9" t="inlineStr">
        <is>
          <t>Days 31–60</t>
        </is>
      </c>
      <c r="B92" s="9" t="inlineStr">
        <is>
          <t>Week 12 · Fri</t>
        </is>
      </c>
      <c r="C92" s="9" t="n">
        <v>60</v>
      </c>
      <c r="D92" s="9" t="inlineStr">
        <is>
          <t>Day 60 review</t>
        </is>
      </c>
      <c r="E92" s="9" t="inlineStr">
        <is>
          <t>Review pipeline, activity and ramp, and agree your Days 61–90 plan</t>
        </is>
      </c>
      <c r="F92" s="9" t="inlineStr">
        <is>
          <t>Practice</t>
        </is>
      </c>
      <c r="G92" s="9" t="n">
        <v>30</v>
      </c>
      <c r="H92" s="9" t="inlineStr">
        <is>
          <t>Line manager</t>
        </is>
      </c>
      <c r="I92" s="9" t="inlineStr">
        <is>
          <t>To build</t>
        </is>
      </c>
      <c r="J92" s="9" t="inlineStr"/>
      <c r="K92" s="9" t="inlineStr"/>
      <c r="L92" s="9" t="inlineStr"/>
      <c r="M92" s="9" t="inlineStr"/>
      <c r="N92" s="10" t="inlineStr"/>
      <c r="O92" s="10" t="inlineStr"/>
    </row>
    <row r="93">
      <c r="A93" s="9" t="inlineStr">
        <is>
          <t>Days 61–90</t>
        </is>
      </c>
      <c r="B93" s="9" t="inlineStr">
        <is>
          <t>Week 13 · Mon</t>
        </is>
      </c>
      <c r="C93" s="9" t="n">
        <v>61</v>
      </c>
      <c r="D93" s="9" t="inlineStr">
        <is>
          <t>Propose Masterclass</t>
        </is>
      </c>
      <c r="E93" s="9" t="inlineStr">
        <is>
          <t>Structure a proposal that moves a deal forward</t>
        </is>
      </c>
      <c r="F93" s="9" t="inlineStr">
        <is>
          <t>Live</t>
        </is>
      </c>
      <c r="G93" s="9" t="n">
        <v>90</v>
      </c>
      <c r="H93" s="9" t="inlineStr">
        <is>
          <t>Enablement</t>
        </is>
      </c>
      <c r="I93" s="9" t="inlineStr">
        <is>
          <t>Ready today</t>
        </is>
      </c>
      <c r="J93" s="9" t="inlineStr"/>
      <c r="K93" s="9" t="inlineStr"/>
      <c r="L93" s="9" t="inlineStr"/>
      <c r="M93" s="9" t="inlineStr"/>
      <c r="N93" s="10" t="inlineStr"/>
      <c r="O93" s="10" t="inlineStr"/>
    </row>
    <row r="94">
      <c r="A94" s="9" t="inlineStr">
        <is>
          <t>Days 61–90</t>
        </is>
      </c>
      <c r="B94" s="9" t="inlineStr">
        <is>
          <t>Week 13 · Tue</t>
        </is>
      </c>
      <c r="C94" s="9" t="n">
        <v>62</v>
      </c>
      <c r="D94" s="9" t="inlineStr">
        <is>
          <t>Pricing guidance &amp; take rate</t>
        </is>
      </c>
      <c r="E94" s="9" t="inlineStr">
        <is>
          <t>Price within guidance and explain take rate</t>
        </is>
      </c>
      <c r="F94" s="9" t="inlineStr">
        <is>
          <t>Live</t>
        </is>
      </c>
      <c r="G94" s="9" t="n">
        <v>60</v>
      </c>
      <c r="H94" s="9" t="inlineStr">
        <is>
          <t>Jim Cho + Francesco Falcone</t>
        </is>
      </c>
      <c r="I94" s="9" t="inlineStr">
        <is>
          <t>To build</t>
        </is>
      </c>
      <c r="J94" s="9" t="inlineStr"/>
      <c r="K94" s="9" t="inlineStr">
        <is>
          <t>Listed before but never scheduled.</t>
        </is>
      </c>
      <c r="L94" s="9" t="inlineStr"/>
      <c r="M94" s="9" t="inlineStr"/>
      <c r="N94" s="10" t="inlineStr"/>
      <c r="O94" s="10" t="inlineStr"/>
    </row>
    <row r="95">
      <c r="A95" s="9" t="inlineStr">
        <is>
          <t>Days 61–90</t>
        </is>
      </c>
      <c r="B95" s="9" t="inlineStr">
        <is>
          <t>Week 13 · Thu</t>
        </is>
      </c>
      <c r="C95" s="9" t="n">
        <v>64</v>
      </c>
      <c r="D95" s="9" t="inlineStr">
        <is>
          <t>RevWay 8–9: Propose &amp; Presentation Skills</t>
        </is>
      </c>
      <c r="E95" s="9" t="inlineStr">
        <is>
          <t>Present a proposal with confidence</t>
        </is>
      </c>
      <c r="F95" s="9" t="inlineStr">
        <is>
          <t>Self-paced</t>
        </is>
      </c>
      <c r="G95" s="9" t="n">
        <v>210</v>
      </c>
      <c r="H95" s="9" t="inlineStr">
        <is>
          <t>Self-directed</t>
        </is>
      </c>
      <c r="I95" s="9" t="inlineStr">
        <is>
          <t>Ready today</t>
        </is>
      </c>
      <c r="J95" s="9" t="inlineStr"/>
      <c r="K95" s="9" t="inlineStr"/>
      <c r="L95" s="9" t="inlineStr"/>
      <c r="M95" s="9" t="inlineStr"/>
      <c r="N95" s="10" t="inlineStr"/>
      <c r="O95" s="10" t="inlineStr"/>
    </row>
    <row r="96">
      <c r="A96" s="9" t="inlineStr">
        <is>
          <t>Days 61–90</t>
        </is>
      </c>
      <c r="B96" s="9" t="inlineStr">
        <is>
          <t>Week 14 · Mon</t>
        </is>
      </c>
      <c r="C96" s="9" t="n">
        <v>66</v>
      </c>
      <c r="D96" s="9" t="inlineStr">
        <is>
          <t>Pricing calculator walk-through (real deal)</t>
        </is>
      </c>
      <c r="E96" s="9" t="inlineStr">
        <is>
          <t>Build a pricing model with the calculator</t>
        </is>
      </c>
      <c r="F96" s="9" t="inlineStr">
        <is>
          <t>Live</t>
        </is>
      </c>
      <c r="G96" s="9" t="n">
        <v>60</v>
      </c>
      <c r="H96" s="9" t="inlineStr">
        <is>
          <t>Jim Cho</t>
        </is>
      </c>
      <c r="I96" s="9" t="inlineStr">
        <is>
          <t>Ready today</t>
        </is>
      </c>
      <c r="J96" s="9" t="inlineStr"/>
      <c r="K96" s="9" t="inlineStr"/>
      <c r="L96" s="9" t="inlineStr"/>
      <c r="M96" s="9" t="inlineStr"/>
      <c r="N96" s="10" t="inlineStr"/>
      <c r="O96" s="10" t="inlineStr"/>
    </row>
    <row r="97">
      <c r="A97" s="9" t="inlineStr">
        <is>
          <t>Days 61–90</t>
        </is>
      </c>
      <c r="B97" s="9" t="inlineStr">
        <is>
          <t>Week 14 · Tue</t>
        </is>
      </c>
      <c r="C97" s="9" t="n">
        <v>67</v>
      </c>
      <c r="D97" s="9" t="inlineStr">
        <is>
          <t>AFT/OCT pricing calculator walk-through</t>
        </is>
      </c>
      <c r="E97" s="9" t="inlineStr">
        <is>
          <t>Price an AFT/OCT deal</t>
        </is>
      </c>
      <c r="F97" s="9" t="inlineStr">
        <is>
          <t>Live</t>
        </is>
      </c>
      <c r="G97" s="9" t="n">
        <v>30</v>
      </c>
      <c r="H97" s="9" t="inlineStr">
        <is>
          <t>Vladimir Sterenko</t>
        </is>
      </c>
      <c r="I97" s="9" t="inlineStr">
        <is>
          <t>Ready today</t>
        </is>
      </c>
      <c r="J97" s="9" t="inlineStr"/>
      <c r="K97" s="9" t="inlineStr"/>
      <c r="L97" s="9" t="inlineStr"/>
      <c r="M97" s="9" t="inlineStr"/>
      <c r="N97" s="10" t="inlineStr"/>
      <c r="O97" s="10" t="inlineStr"/>
    </row>
    <row r="98">
      <c r="A98" s="9" t="inlineStr">
        <is>
          <t>Days 61–90</t>
        </is>
      </c>
      <c r="B98" s="9" t="inlineStr">
        <is>
          <t>Week 14 · Thu</t>
        </is>
      </c>
      <c r="C98" s="9" t="n">
        <v>69</v>
      </c>
      <c r="D98" s="9" t="inlineStr">
        <is>
          <t>Payments economics: interchange++, fee &amp; cost analysis</t>
        </is>
      </c>
      <c r="E98" s="9" t="inlineStr">
        <is>
          <t>Build a cost comparison against a merchant's current provider</t>
        </is>
      </c>
      <c r="F98" s="9" t="inlineStr">
        <is>
          <t>Live</t>
        </is>
      </c>
      <c r="G98" s="9" t="n">
        <v>90</v>
      </c>
      <c r="H98" s="9" t="inlineStr">
        <is>
          <t>Deal Management + Solutions Engineering</t>
        </is>
      </c>
      <c r="I98" s="9" t="inlineStr">
        <is>
          <t>To build</t>
        </is>
      </c>
      <c r="J98" s="9" t="inlineStr"/>
      <c r="K98" s="9" t="inlineStr">
        <is>
          <t>Examples exist (Gopuff and Rhino + Jetty cost analyses, L2/L3) but there's no session.</t>
        </is>
      </c>
      <c r="L98" s="9" t="inlineStr"/>
      <c r="M98" s="9" t="inlineStr"/>
      <c r="N98" s="10" t="inlineStr"/>
      <c r="O98" s="10" t="inlineStr"/>
    </row>
    <row r="99">
      <c r="A99" s="9" t="inlineStr">
        <is>
          <t>Days 61–90</t>
        </is>
      </c>
      <c r="B99" s="9" t="inlineStr">
        <is>
          <t>Week 15 · Mon</t>
        </is>
      </c>
      <c r="C99" s="9" t="n">
        <v>71</v>
      </c>
      <c r="D99" s="9" t="inlineStr">
        <is>
          <t>Trade, deal structure &amp; negotiation case studies</t>
        </is>
      </c>
      <c r="E99" s="9" t="inlineStr">
        <is>
          <t>Negotiate terms, get pricing approved and set minimum billing</t>
        </is>
      </c>
      <c r="F99" s="9" t="inlineStr">
        <is>
          <t>Live</t>
        </is>
      </c>
      <c r="G99" s="9" t="n">
        <v>60</v>
      </c>
      <c r="H99" s="9" t="inlineStr">
        <is>
          <t>Pod lead (TBD)</t>
        </is>
      </c>
      <c r="I99" s="9" t="inlineStr">
        <is>
          <t>To build</t>
        </is>
      </c>
      <c r="J99" s="9" t="inlineStr"/>
      <c r="K99" s="9" t="inlineStr"/>
      <c r="L99" s="9" t="inlineStr"/>
      <c r="M99" s="9" t="inlineStr"/>
      <c r="N99" s="10" t="inlineStr"/>
      <c r="O99" s="10" t="inlineStr"/>
    </row>
    <row r="100">
      <c r="A100" s="9" t="inlineStr">
        <is>
          <t>Days 61–90</t>
        </is>
      </c>
      <c r="B100" s="9" t="inlineStr">
        <is>
          <t>Week 15 · Wed</t>
        </is>
      </c>
      <c r="C100" s="9" t="n">
        <v>73</v>
      </c>
      <c r="D100" s="9" t="inlineStr">
        <is>
          <t>Underwriting from the UW lens + MAF &amp; questionnaires</t>
        </is>
      </c>
      <c r="E100" s="9" t="inlineStr">
        <is>
          <t>Complete MAFs and questionnaires right the first time</t>
        </is>
      </c>
      <c r="F100" s="9" t="inlineStr">
        <is>
          <t>Live</t>
        </is>
      </c>
      <c r="G100" s="9" t="n">
        <v>60</v>
      </c>
      <c r="H100" s="9" t="inlineStr">
        <is>
          <t>Jarett Israel + Rithvik Nair</t>
        </is>
      </c>
      <c r="I100" s="9" t="inlineStr">
        <is>
          <t>Ready today</t>
        </is>
      </c>
      <c r="J100" s="9" t="inlineStr"/>
      <c r="K100" s="9" t="inlineStr"/>
      <c r="L100" s="9" t="inlineStr"/>
      <c r="M100" s="9" t="inlineStr"/>
      <c r="N100" s="10" t="inlineStr"/>
      <c r="O100" s="10" t="inlineStr"/>
    </row>
    <row r="101">
      <c r="A101" s="9" t="inlineStr">
        <is>
          <t>Days 61–90</t>
        </is>
      </c>
      <c r="B101" s="9" t="inlineStr">
        <is>
          <t>Week 15 · Thu</t>
        </is>
      </c>
      <c r="C101" s="9" t="n">
        <v>74</v>
      </c>
      <c r="D101" s="9" t="inlineStr">
        <is>
          <t>Objection handling drill + RevWay 10</t>
        </is>
      </c>
      <c r="E101" s="9" t="inlineStr">
        <is>
          <t>Handle pricing and competitive objections live</t>
        </is>
      </c>
      <c r="F101" s="9" t="inlineStr">
        <is>
          <t>Practice</t>
        </is>
      </c>
      <c r="G101" s="9" t="n">
        <v>90</v>
      </c>
      <c r="H101" s="9" t="inlineStr">
        <is>
          <t>Enablement</t>
        </is>
      </c>
      <c r="I101" s="9" t="inlineStr">
        <is>
          <t>Needs refresh</t>
        </is>
      </c>
      <c r="J101" s="9" t="inlineStr"/>
      <c r="K101" s="9" t="inlineStr">
        <is>
          <t>Self-paced only today; add a live drill using the competitive defense playbook.</t>
        </is>
      </c>
      <c r="L101" s="9" t="inlineStr"/>
      <c r="M101" s="9" t="inlineStr"/>
      <c r="N101" s="10" t="inlineStr"/>
      <c r="O101" s="10" t="inlineStr"/>
    </row>
    <row r="102">
      <c r="A102" s="9" t="inlineStr">
        <is>
          <t>Days 61–90</t>
        </is>
      </c>
      <c r="B102" s="9" t="inlineStr">
        <is>
          <t>Week 16 · Mon</t>
        </is>
      </c>
      <c r="C102" s="9" t="n">
        <v>76</v>
      </c>
      <c r="D102" s="9" t="inlineStr">
        <is>
          <t>How to ramp a merchant: what happens after 'yes'</t>
        </is>
      </c>
      <c r="E102" s="9" t="inlineStr">
        <is>
          <t>Get a new merchant live and processing</t>
        </is>
      </c>
      <c r="F102" s="9" t="inlineStr">
        <is>
          <t>Live</t>
        </is>
      </c>
      <c r="G102" s="9" t="n">
        <v>30</v>
      </c>
      <c r="H102" s="9" t="inlineStr">
        <is>
          <t>Nicholas Schaffer</t>
        </is>
      </c>
      <c r="I102" s="9" t="inlineStr">
        <is>
          <t>Ready today</t>
        </is>
      </c>
      <c r="J102" s="9" t="inlineStr"/>
      <c r="K102" s="9" t="inlineStr"/>
      <c r="L102" s="9" t="inlineStr"/>
      <c r="M102" s="9" t="inlineStr"/>
      <c r="N102" s="10" t="inlineStr"/>
      <c r="O102" s="10" t="inlineStr"/>
    </row>
    <row r="103">
      <c r="A103" s="9" t="inlineStr">
        <is>
          <t>Days 61–90</t>
        </is>
      </c>
      <c r="B103" s="9" t="inlineStr">
        <is>
          <t>Week 16 · Tue</t>
        </is>
      </c>
      <c r="C103" s="9" t="n">
        <v>77</v>
      </c>
      <c r="D103" s="9" t="inlineStr">
        <is>
          <t>QBR walk-through</t>
        </is>
      </c>
      <c r="E103" s="9" t="inlineStr">
        <is>
          <t>Run a strong QBR with an existing merchant</t>
        </is>
      </c>
      <c r="F103" s="9" t="inlineStr">
        <is>
          <t>Live</t>
        </is>
      </c>
      <c r="G103" s="9" t="n">
        <v>30</v>
      </c>
      <c r="H103" s="9" t="inlineStr">
        <is>
          <t>Perrin Heyka</t>
        </is>
      </c>
      <c r="I103" s="9" t="inlineStr">
        <is>
          <t>Ready today</t>
        </is>
      </c>
      <c r="J103" s="9" t="inlineStr"/>
      <c r="K103" s="9" t="inlineStr"/>
      <c r="L103" s="9" t="inlineStr"/>
      <c r="M103" s="9" t="inlineStr"/>
      <c r="N103" s="10" t="inlineStr"/>
      <c r="O103" s="10" t="inlineStr"/>
    </row>
    <row r="104">
      <c r="A104" s="9" t="inlineStr">
        <is>
          <t>Days 61–90</t>
        </is>
      </c>
      <c r="B104" s="9" t="inlineStr">
        <is>
          <t>Week 16 · Thu</t>
        </is>
      </c>
      <c r="C104" s="9" t="n">
        <v>79</v>
      </c>
      <c r="D104" s="9" t="inlineStr">
        <is>
          <t>MBO, quota mechanics &amp; your path to quota</t>
        </is>
      </c>
      <c r="E104" s="9" t="inlineStr">
        <is>
          <t>Explain quota retirement, consumption and your path to target</t>
        </is>
      </c>
      <c r="F104" s="9" t="inlineStr">
        <is>
          <t>Live</t>
        </is>
      </c>
      <c r="G104" s="9" t="n">
        <v>60</v>
      </c>
      <c r="H104" s="9" t="inlineStr">
        <is>
          <t>Francesco Falcone + Jim Cho</t>
        </is>
      </c>
      <c r="I104" s="9" t="inlineStr">
        <is>
          <t>Needs refresh</t>
        </is>
      </c>
      <c r="J104" s="9" t="inlineStr"/>
      <c r="K104" s="9" t="inlineStr">
        <is>
          <t>Reschedule to 60 minutes with Jim, and invite newer hires.</t>
        </is>
      </c>
      <c r="L104" s="9" t="inlineStr"/>
      <c r="M104" s="9" t="inlineStr"/>
      <c r="N104" s="10" t="inlineStr"/>
      <c r="O104" s="10" t="inlineStr"/>
    </row>
    <row r="105">
      <c r="A105" s="9" t="inlineStr">
        <is>
          <t>Days 61–90</t>
        </is>
      </c>
      <c r="B105" s="9" t="inlineStr">
        <is>
          <t>Week 17 · Tue</t>
        </is>
      </c>
      <c r="C105" s="9" t="n">
        <v>82</v>
      </c>
      <c r="D105" s="9" t="inlineStr">
        <is>
          <t>Business case lab: quantify the value</t>
        </is>
      </c>
      <c r="E105" s="9" t="inlineStr">
        <is>
          <t>Turn your value hypothesis into a business case</t>
        </is>
      </c>
      <c r="F105" s="9" t="inlineStr">
        <is>
          <t>Practice</t>
        </is>
      </c>
      <c r="G105" s="9" t="n">
        <v>60</v>
      </c>
      <c r="H105" s="9" t="inlineStr">
        <is>
          <t>Solutions Engineering + Deal Management</t>
        </is>
      </c>
      <c r="I105" s="9" t="inlineStr">
        <is>
          <t>To build</t>
        </is>
      </c>
      <c r="J105" s="9" t="inlineStr">
        <is>
          <t>Deal Room</t>
        </is>
      </c>
      <c r="K105" s="9" t="inlineStr"/>
      <c r="L105" s="9" t="inlineStr"/>
      <c r="M105" s="9" t="inlineStr"/>
      <c r="N105" s="10" t="inlineStr"/>
      <c r="O105" s="10" t="inlineStr"/>
    </row>
    <row r="106">
      <c r="A106" s="9" t="inlineStr">
        <is>
          <t>Days 61–90</t>
        </is>
      </c>
      <c r="B106" s="9" t="inlineStr">
        <is>
          <t>Week 17 · Thu</t>
        </is>
      </c>
      <c r="C106" s="9" t="n">
        <v>84</v>
      </c>
      <c r="D106" s="9" t="inlineStr">
        <is>
          <t>Proposal dry run with buddy</t>
        </is>
      </c>
      <c r="E106" s="9" t="inlineStr">
        <is>
          <t>Rehearse your Deal Room proposal</t>
        </is>
      </c>
      <c r="F106" s="9" t="inlineStr">
        <is>
          <t>Practice</t>
        </is>
      </c>
      <c r="G106" s="9" t="n">
        <v>45</v>
      </c>
      <c r="H106" s="9" t="inlineStr">
        <is>
          <t>Buddy</t>
        </is>
      </c>
      <c r="I106" s="9" t="inlineStr">
        <is>
          <t>To build</t>
        </is>
      </c>
      <c r="J106" s="9" t="inlineStr">
        <is>
          <t>Deal Room</t>
        </is>
      </c>
      <c r="K106" s="9" t="inlineStr"/>
      <c r="L106" s="9" t="inlineStr"/>
      <c r="M106" s="9" t="inlineStr"/>
      <c r="N106" s="10" t="inlineStr"/>
      <c r="O106" s="10" t="inlineStr"/>
    </row>
    <row r="107">
      <c r="A107" s="9" t="inlineStr">
        <is>
          <t>Days 61–90</t>
        </is>
      </c>
      <c r="B107" s="9" t="inlineStr">
        <is>
          <t>Week 18 · Wed</t>
        </is>
      </c>
      <c r="C107" s="9" t="n">
        <v>88</v>
      </c>
      <c r="D107" s="9" t="inlineStr">
        <is>
          <t>Deal Room: present your top live deal</t>
        </is>
      </c>
      <c r="E107" s="9" t="inlineStr">
        <is>
          <t>Present a full proposal, pricing included, and get coaching from your manager and Deal Desk</t>
        </is>
      </c>
      <c r="F107" s="9" t="inlineStr">
        <is>
          <t>Practice</t>
        </is>
      </c>
      <c r="G107" s="9" t="n">
        <v>60</v>
      </c>
      <c r="H107" s="9" t="inlineStr">
        <is>
          <t>Line manager + Deal Desk</t>
        </is>
      </c>
      <c r="I107" s="9" t="inlineStr">
        <is>
          <t>To build</t>
        </is>
      </c>
      <c r="J107" s="9" t="inlineStr">
        <is>
          <t>Deal Room</t>
        </is>
      </c>
      <c r="K107" s="9" t="inlineStr">
        <is>
          <t>Coaching, not scored; certifications are done by Day 30.</t>
        </is>
      </c>
      <c r="L107" s="9" t="inlineStr"/>
      <c r="M107" s="9" t="inlineStr"/>
      <c r="N107" s="10" t="inlineStr"/>
      <c r="O107" s="10" t="inlineStr"/>
    </row>
    <row r="108">
      <c r="A108" s="9" t="inlineStr">
        <is>
          <t>Days 61–90</t>
        </is>
      </c>
      <c r="B108" s="9" t="inlineStr">
        <is>
          <t>Week 18 · Fri</t>
        </is>
      </c>
      <c r="C108" s="9" t="n">
        <v>90</v>
      </c>
      <c r="D108" s="9" t="inlineStr">
        <is>
          <t>Day 90 review &amp; graduation</t>
        </is>
      </c>
      <c r="E108" s="9" t="inlineStr">
        <is>
          <t>Review ramp against quota trajectory and set a Days 91–180 development plan</t>
        </is>
      </c>
      <c r="F108" s="9" t="inlineStr">
        <is>
          <t>Practice</t>
        </is>
      </c>
      <c r="G108" s="9" t="n">
        <v>30</v>
      </c>
      <c r="H108" s="9" t="inlineStr">
        <is>
          <t>Line manager + Enablement</t>
        </is>
      </c>
      <c r="I108" s="9" t="inlineStr">
        <is>
          <t>To build</t>
        </is>
      </c>
      <c r="J108" s="9" t="inlineStr">
        <is>
          <t>Deal Room</t>
        </is>
      </c>
      <c r="K108" s="9" t="inlineStr"/>
      <c r="L108" s="9" t="inlineStr"/>
      <c r="M108" s="9" t="inlineStr"/>
      <c r="N108" s="10" t="inlineStr"/>
      <c r="O108" s="10" t="inlineStr"/>
    </row>
    <row r="109">
      <c r="A109" s="9" t="inlineStr">
        <is>
          <t>After Day 90</t>
        </is>
      </c>
      <c r="B109" s="9" t="inlineStr">
        <is>
          <t>After Day 90</t>
        </is>
      </c>
      <c r="C109" s="9" t="inlineStr"/>
      <c r="D109" s="9" t="inlineStr">
        <is>
          <t>Monthly sales skills session</t>
        </is>
      </c>
      <c r="E109" s="9" t="inlineStr">
        <is>
          <t>Keep sharpening one skill a month</t>
        </is>
      </c>
      <c r="F109" s="9" t="inlineStr">
        <is>
          <t>Live</t>
        </is>
      </c>
      <c r="G109" s="9" t="n">
        <v>60</v>
      </c>
      <c r="H109" s="9" t="inlineStr">
        <is>
          <t>Enablement</t>
        </is>
      </c>
      <c r="I109" s="9" t="inlineStr">
        <is>
          <t>Ready today</t>
        </is>
      </c>
      <c r="J109" s="9" t="inlineStr"/>
      <c r="K109" s="9" t="inlineStr"/>
      <c r="L109" s="9" t="inlineStr"/>
      <c r="M109" s="9" t="inlineStr"/>
      <c r="N109" s="10" t="inlineStr"/>
      <c r="O109" s="10" t="inlineStr"/>
    </row>
    <row r="110">
      <c r="A110" s="9" t="inlineStr">
        <is>
          <t>After Day 90</t>
        </is>
      </c>
      <c r="B110" s="9" t="inlineStr">
        <is>
          <t>After Day 90</t>
        </is>
      </c>
      <c r="C110" s="9" t="inlineStr"/>
      <c r="D110" s="9" t="inlineStr">
        <is>
          <t>'How We Did It' at the sales all-hands</t>
        </is>
      </c>
      <c r="E110" s="9" t="inlineStr">
        <is>
          <t>Learn from recent wins</t>
        </is>
      </c>
      <c r="F110" s="9" t="inlineStr">
        <is>
          <t>Live</t>
        </is>
      </c>
      <c r="G110" s="9" t="n">
        <v>30</v>
      </c>
      <c r="H110" s="9" t="inlineStr">
        <is>
          <t>Octavio Balcazar / Olivia Smith</t>
        </is>
      </c>
      <c r="I110" s="9" t="inlineStr">
        <is>
          <t>Ready today</t>
        </is>
      </c>
      <c r="J110" s="9" t="inlineStr"/>
      <c r="K110" s="9" t="inlineStr"/>
      <c r="L110" s="9" t="inlineStr"/>
      <c r="M110" s="9" t="inlineStr"/>
      <c r="N110" s="10" t="inlineStr"/>
      <c r="O110" s="10" t="inlineStr"/>
    </row>
    <row r="111">
      <c r="A111" s="9" t="inlineStr">
        <is>
          <t>After Day 90</t>
        </is>
      </c>
      <c r="B111" s="9" t="inlineStr">
        <is>
          <t>After Day 90</t>
        </is>
      </c>
      <c r="C111" s="9" t="inlineStr"/>
      <c r="D111" s="9" t="inlineStr">
        <is>
          <t>Call recording clinic, every two months</t>
        </is>
      </c>
      <c r="E111" s="9" t="inlineStr">
        <is>
          <t>Review calls as a team</t>
        </is>
      </c>
      <c r="F111" s="9" t="inlineStr">
        <is>
          <t>Practice</t>
        </is>
      </c>
      <c r="G111" s="9" t="n">
        <v>45</v>
      </c>
      <c r="H111" s="9" t="inlineStr">
        <is>
          <t>Jim Cho + Francesco Falcone</t>
        </is>
      </c>
      <c r="I111" s="9" t="inlineStr">
        <is>
          <t>Ready today</t>
        </is>
      </c>
      <c r="J111" s="9" t="inlineStr"/>
      <c r="K111" s="9" t="inlineStr"/>
      <c r="L111" s="9" t="inlineStr"/>
      <c r="M111" s="9" t="inlineStr"/>
      <c r="N111" s="10" t="inlineStr"/>
      <c r="O111" s="10" t="inlineStr"/>
    </row>
    <row r="112">
      <c r="A112" s="9" t="inlineStr">
        <is>
          <t>After Day 90</t>
        </is>
      </c>
      <c r="B112" s="9" t="inlineStr">
        <is>
          <t>After Day 90</t>
        </is>
      </c>
      <c r="C112" s="9" t="inlineStr"/>
      <c r="D112" s="9" t="inlineStr">
        <is>
          <t>Yearly recertification: Explore &amp; Pitch</t>
        </is>
      </c>
      <c r="E112" s="9" t="inlineStr">
        <is>
          <t>Keep the bar consistent for tenured AEs</t>
        </is>
      </c>
      <c r="F112" s="9" t="inlineStr">
        <is>
          <t>Certification</t>
        </is>
      </c>
      <c r="G112" s="9" t="n">
        <v>60</v>
      </c>
      <c r="H112" s="9" t="inlineStr">
        <is>
          <t>Enablement</t>
        </is>
      </c>
      <c r="I112" s="9" t="inlineStr">
        <is>
          <t>To build</t>
        </is>
      </c>
      <c r="J112" s="9" t="inlineStr"/>
      <c r="K112" s="9" t="inlineStr"/>
      <c r="L112" s="9" t="inlineStr"/>
      <c r="M112" s="9" t="inlineStr"/>
      <c r="N112" s="10" t="inlineStr"/>
      <c r="O112" s="10" t="inlineStr"/>
    </row>
  </sheetData>
  <autoFilter ref="A9:O112"/>
  <mergeCells count="1">
    <mergeCell ref="F5:O5"/>
  </mergeCells>
  <conditionalFormatting sqref="I10:I112">
    <cfRule type="cellIs" priority="1" operator="equal" dxfId="0">
      <formula>"Ready today"</formula>
    </cfRule>
    <cfRule type="cellIs" priority="2" operator="equal" dxfId="1">
      <formula>"Needs refresh"</formula>
    </cfRule>
    <cfRule type="cellIs" priority="3" operator="equal" dxfId="2">
      <formula>"To build"</formula>
    </cfRule>
  </conditionalFormatting>
  <conditionalFormatting sqref="A10:O112">
    <cfRule type="expression" priority="4" dxfId="3">
      <formula>LEFT($D10,1)="★"</formula>
    </cfRule>
  </conditionalFormatting>
  <dataValidations count="2">
    <dataValidation sqref="I10:I162" showDropDown="0" showInputMessage="0" showErrorMessage="0" allowBlank="0" type="list">
      <formula1>"Ready today,Needs refresh,To build"</formula1>
    </dataValidation>
    <dataValidation sqref="N10:N162" showDropDown="0" showInputMessage="0" showErrorMessage="0" allowBlank="0" type="list">
      <formula1>"Keep,Change,Cut,Discuss"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50" customWidth="1" min="3" max="3"/>
    <col width="15" customWidth="1" min="4" max="4"/>
    <col width="30" customWidth="1" min="5" max="5"/>
    <col width="16" customWidth="1" min="6" max="6"/>
    <col width="13" customWidth="1" min="7" max="7"/>
    <col width="13" customWidth="1" min="8" max="8"/>
    <col width="30" customWidth="1" min="9" max="9"/>
    <col width="70" customWidth="1" min="10" max="10"/>
  </cols>
  <sheetData>
    <row r="1">
      <c r="A1" s="1" t="inlineStr">
        <is>
          <t>Build Plan</t>
        </is>
      </c>
    </row>
    <row r="2">
      <c r="A2" s="2" t="inlineStr">
        <is>
          <t>Everything to build or refresh. P1 = needed for the next cohort (certifications, Follow the Flow, Deal Room, Day 1 payments primer).</t>
        </is>
      </c>
    </row>
    <row r="3">
      <c r="A3" s="3" t="inlineStr">
        <is>
          <t>Leadership summary</t>
        </is>
      </c>
    </row>
    <row r="4">
      <c r="A4" s="4" t="inlineStr">
        <is>
          <t>Items</t>
        </is>
      </c>
      <c r="B4" s="5">
        <f>COUNTA($C$10:$C$57)</f>
        <v/>
      </c>
      <c r="C4" s="4" t="inlineStr">
        <is>
          <t>P1 items</t>
        </is>
      </c>
      <c r="D4" s="5">
        <f>COUNTIF($A$10:$A$57,"P1")</f>
        <v/>
      </c>
      <c r="E4" s="4" t="inlineStr">
        <is>
          <t>P1 done</t>
        </is>
      </c>
      <c r="F4" s="5">
        <f>COUNTIFS($A$10:$A$57,"P1",$H$10:$H$57,"Done")</f>
        <v/>
      </c>
      <c r="G4" s="6" t="n"/>
      <c r="H4" s="6" t="n"/>
      <c r="I4" s="6" t="n"/>
      <c r="J4" s="6" t="n"/>
    </row>
    <row r="5">
      <c r="A5" s="4" t="inlineStr">
        <is>
          <t>To build</t>
        </is>
      </c>
      <c r="B5" s="5">
        <f>COUNTIF($B$10:$B$57,"To build")</f>
        <v/>
      </c>
      <c r="C5" s="4" t="inlineStr">
        <is>
          <t>To refresh</t>
        </is>
      </c>
      <c r="D5" s="5">
        <f>COUNTIF($B$10:$B$57,"Needs refresh")</f>
        <v/>
      </c>
      <c r="E5" s="4" t="inlineStr">
        <is>
          <t>Owners agreed</t>
        </is>
      </c>
      <c r="F5" s="5">
        <f>COUNTIF($F$10:$F$57,"Yes")&amp;" of "&amp;COUNTA($C$10:$C$57)</f>
        <v/>
      </c>
      <c r="G5" s="6" t="n"/>
      <c r="H5" s="6" t="n"/>
      <c r="I5" s="6" t="n"/>
      <c r="J5" s="6" t="n"/>
    </row>
    <row r="9">
      <c r="A9" s="7" t="inlineStr">
        <is>
          <t>Priority</t>
        </is>
      </c>
      <c r="B9" s="7" t="inlineStr">
        <is>
          <t>Type</t>
        </is>
      </c>
      <c r="C9" s="7" t="inlineStr">
        <is>
          <t>Session</t>
        </is>
      </c>
      <c r="D9" s="7" t="inlineStr">
        <is>
          <t>When</t>
        </is>
      </c>
      <c r="E9" s="7" t="inlineStr">
        <is>
          <t>Proposed owner</t>
        </is>
      </c>
      <c r="F9" s="7" t="inlineStr">
        <is>
          <t>Owner agreed?</t>
        </is>
      </c>
      <c r="G9" s="7" t="inlineStr">
        <is>
          <t>Target date</t>
        </is>
      </c>
      <c r="H9" s="7" t="inlineStr">
        <is>
          <t>Progress</t>
        </is>
      </c>
      <c r="I9" s="7" t="inlineStr">
        <is>
          <t>Content link</t>
        </is>
      </c>
      <c r="J9" s="7" t="inlineStr">
        <is>
          <t>Brief</t>
        </is>
      </c>
    </row>
    <row r="10">
      <c r="A10" s="9" t="inlineStr">
        <is>
          <t>P1</t>
        </is>
      </c>
      <c r="B10" s="9" t="inlineStr">
        <is>
          <t>To build</t>
        </is>
      </c>
      <c r="C10" s="9" t="inlineStr">
        <is>
          <t>Payments at Checkout in 60 minutes</t>
        </is>
      </c>
      <c r="D10" s="9" t="inlineStr">
        <is>
          <t>Week 1 · Tue</t>
        </is>
      </c>
      <c r="E10" s="9" t="inlineStr">
        <is>
          <t>Enablement + Solutions Engineering</t>
        </is>
      </c>
      <c r="F10" s="9" t="inlineStr"/>
      <c r="G10" s="9" t="inlineStr"/>
      <c r="H10" s="9" t="inlineStr">
        <is>
          <t>Not started</t>
        </is>
      </c>
      <c r="I10" s="9" t="inlineStr"/>
      <c r="J10" s="9" t="inlineStr">
        <is>
          <t>Story-led primer that complements Payments Academy and gives context before the curriculum starts.</t>
        </is>
      </c>
    </row>
    <row r="11">
      <c r="A11" s="9" t="inlineStr">
        <is>
          <t>P1</t>
        </is>
      </c>
      <c r="B11" s="9" t="inlineStr">
        <is>
          <t>To build</t>
        </is>
      </c>
      <c r="C11" s="9" t="inlineStr">
        <is>
          <t>Discover (SAT style) (NORAM)</t>
        </is>
      </c>
      <c r="D11" s="9" t="inlineStr">
        <is>
          <t>Week 4 · Mon</t>
        </is>
      </c>
      <c r="E11" s="9" t="inlineStr">
        <is>
          <t>TBD with team lead</t>
        </is>
      </c>
      <c r="F11" s="9" t="inlineStr"/>
      <c r="G11" s="9" t="inlineStr"/>
      <c r="H11" s="9" t="inlineStr">
        <is>
          <t>Not started</t>
        </is>
      </c>
      <c r="I11" s="9" t="inlineStr"/>
      <c r="J11" s="9" t="inlineStr">
        <is>
          <t>Exists for UK/EEA only today (catalogue #41). Build a NORAM version.</t>
        </is>
      </c>
    </row>
    <row r="12">
      <c r="A12" s="9" t="inlineStr">
        <is>
          <t>P1</t>
        </is>
      </c>
      <c r="B12" s="9" t="inlineStr">
        <is>
          <t>To build</t>
        </is>
      </c>
      <c r="C12" s="9" t="inlineStr">
        <is>
          <t>Explore Call Masterclass</t>
        </is>
      </c>
      <c r="D12" s="9" t="inlineStr">
        <is>
          <t>Week 4 · Tue</t>
        </is>
      </c>
      <c r="E12" s="9" t="inlineStr">
        <is>
          <t>Enablement + top AE</t>
        </is>
      </c>
      <c r="F12" s="9" t="inlineStr"/>
      <c r="G12" s="9" t="inlineStr"/>
      <c r="H12" s="9" t="inlineStr">
        <is>
          <t>Not started</t>
        </is>
      </c>
      <c r="I12" s="9" t="inlineStr"/>
      <c r="J12" s="9" t="inlineStr">
        <is>
          <t>Run an Explore call with an agenda, upfront contract and DEPTH funnel</t>
        </is>
      </c>
    </row>
    <row r="13">
      <c r="A13" s="9" t="inlineStr">
        <is>
          <t>P1</t>
        </is>
      </c>
      <c r="B13" s="9" t="inlineStr">
        <is>
          <t>To build</t>
        </is>
      </c>
      <c r="C13" s="9" t="inlineStr">
        <is>
          <t>Payments discovery question bank &amp; value hypothesis</t>
        </is>
      </c>
      <c r="D13" s="9" t="inlineStr">
        <is>
          <t>Week 4 · Wed</t>
        </is>
      </c>
      <c r="E13" s="9" t="inlineStr">
        <is>
          <t>Enablement + Solutions Engineering</t>
        </is>
      </c>
      <c r="F13" s="9" t="inlineStr"/>
      <c r="G13" s="9" t="inlineStr"/>
      <c r="H13" s="9" t="inlineStr">
        <is>
          <t>Not started</t>
        </is>
      </c>
      <c r="I13" s="9" t="inlineStr"/>
      <c r="J13" s="9" t="inlineStr">
        <is>
          <t>Ask the right questions for each persona and pillar, and form a value hypothesis</t>
        </is>
      </c>
    </row>
    <row r="14">
      <c r="A14" s="9" t="inlineStr">
        <is>
          <t>P1</t>
        </is>
      </c>
      <c r="B14" s="9" t="inlineStr">
        <is>
          <t>To build</t>
        </is>
      </c>
      <c r="C14" s="9" t="inlineStr">
        <is>
          <t>Storyline workshop: the first-meeting pitch deck</t>
        </is>
      </c>
      <c r="D14" s="9" t="inlineStr">
        <is>
          <t>Week 5 · Thu</t>
        </is>
      </c>
      <c r="E14" s="9" t="inlineStr">
        <is>
          <t>Enablement + Product Marketing</t>
        </is>
      </c>
      <c r="F14" s="9" t="inlineStr"/>
      <c r="G14" s="9" t="inlineStr"/>
      <c r="H14" s="9" t="inlineStr">
        <is>
          <t>Not started</t>
        </is>
      </c>
      <c r="I14" s="9" t="inlineStr"/>
      <c r="J14" s="9" t="inlineStr">
        <is>
          <t>Uses the standard certification case and the Great Decks library.</t>
        </is>
      </c>
    </row>
    <row r="15">
      <c r="A15" s="9" t="inlineStr">
        <is>
          <t>P1</t>
        </is>
      </c>
      <c r="B15" s="9" t="inlineStr">
        <is>
          <t>To build</t>
        </is>
      </c>
      <c r="C15" s="9" t="inlineStr">
        <is>
          <t>★ Explore Call Certification (Day 25)</t>
        </is>
      </c>
      <c r="D15" s="9" t="inlineStr">
        <is>
          <t>Week 5 · Fri</t>
        </is>
      </c>
      <c r="E15" s="9" t="inlineStr">
        <is>
          <t>Pod leads + Enablement</t>
        </is>
      </c>
      <c r="F15" s="9" t="inlineStr"/>
      <c r="G15" s="9" t="inlineStr"/>
      <c r="H15" s="9" t="inlineStr">
        <is>
          <t>Not started</t>
        </is>
      </c>
      <c r="I15" s="9" t="inlineStr"/>
      <c r="J15" s="9" t="inlineStr">
        <is>
          <t>Run as a batch certification day. Retake by Day 35, with supplemental materials.</t>
        </is>
      </c>
    </row>
    <row r="16">
      <c r="A16" s="9" t="inlineStr">
        <is>
          <t>P1</t>
        </is>
      </c>
      <c r="B16" s="9" t="inlineStr">
        <is>
          <t>To build</t>
        </is>
      </c>
      <c r="C16" s="9" t="inlineStr">
        <is>
          <t>Deck dry run with buddy &amp; pod</t>
        </is>
      </c>
      <c r="D16" s="9" t="inlineStr">
        <is>
          <t>Week 6 · Wed</t>
        </is>
      </c>
      <c r="E16" s="9" t="inlineStr">
        <is>
          <t>Buddy + pod</t>
        </is>
      </c>
      <c r="F16" s="9" t="inlineStr"/>
      <c r="G16" s="9" t="inlineStr"/>
      <c r="H16" s="9" t="inlineStr">
        <is>
          <t>Not started</t>
        </is>
      </c>
      <c r="I16" s="9" t="inlineStr"/>
      <c r="J16" s="9" t="inlineStr">
        <is>
          <t>Rehearse your pitch and tighten it with feedback</t>
        </is>
      </c>
    </row>
    <row r="17">
      <c r="A17" s="9" t="inlineStr">
        <is>
          <t>P1</t>
        </is>
      </c>
      <c r="B17" s="9" t="inlineStr">
        <is>
          <t>To build</t>
        </is>
      </c>
      <c r="C17" s="9" t="inlineStr">
        <is>
          <t>★ Pitch Deck Certification (Day 30)</t>
        </is>
      </c>
      <c r="D17" s="9" t="inlineStr">
        <is>
          <t>Week 6 · Fri</t>
        </is>
      </c>
      <c r="E17" s="9" t="inlineStr">
        <is>
          <t>Pod leads + Enablement</t>
        </is>
      </c>
      <c r="F17" s="9" t="inlineStr"/>
      <c r="G17" s="9" t="inlineStr"/>
      <c r="H17" s="9" t="inlineStr">
        <is>
          <t>Not started</t>
        </is>
      </c>
      <c r="I17" s="9" t="inlineStr"/>
      <c r="J17" s="9" t="inlineStr">
        <is>
          <t>Run as a batch certification day. Retake by Day 35, with supplemental materials.</t>
        </is>
      </c>
    </row>
    <row r="18">
      <c r="A18" s="9" t="inlineStr">
        <is>
          <t>P1</t>
        </is>
      </c>
      <c r="B18" s="9" t="inlineStr">
        <is>
          <t>To build</t>
        </is>
      </c>
      <c r="C18" s="9" t="inlineStr">
        <is>
          <t>Follow the Flow · Authorise: Deal Desk</t>
        </is>
      </c>
      <c r="D18" s="9" t="inlineStr">
        <is>
          <t>Week 12 · Wed</t>
        </is>
      </c>
      <c r="E18" s="9" t="inlineStr">
        <is>
          <t>Faith Bergman</t>
        </is>
      </c>
      <c r="F18" s="9" t="inlineStr"/>
      <c r="G18" s="9" t="inlineStr"/>
      <c r="H18" s="9" t="inlineStr">
        <is>
          <t>Not started</t>
        </is>
      </c>
      <c r="I18" s="9" t="inlineStr"/>
      <c r="J18" s="9" t="inlineStr">
        <is>
          <t>Station in the Follow the Flow workshop.</t>
        </is>
      </c>
    </row>
    <row r="19">
      <c r="A19" s="9" t="inlineStr">
        <is>
          <t>P1</t>
        </is>
      </c>
      <c r="B19" s="9" t="inlineStr">
        <is>
          <t>To build</t>
        </is>
      </c>
      <c r="C19" s="9" t="inlineStr">
        <is>
          <t>Follow the Flow · Risk check: Underwriting</t>
        </is>
      </c>
      <c r="D19" s="9" t="inlineStr">
        <is>
          <t>Week 12 · Wed</t>
        </is>
      </c>
      <c r="E19" s="9" t="inlineStr">
        <is>
          <t>Underwriting</t>
        </is>
      </c>
      <c r="F19" s="9" t="inlineStr"/>
      <c r="G19" s="9" t="inlineStr"/>
      <c r="H19" s="9" t="inlineStr">
        <is>
          <t>Not started</t>
        </is>
      </c>
      <c r="I19" s="9" t="inlineStr"/>
      <c r="J19" s="9" t="inlineStr">
        <is>
          <t>Station in the Follow the Flow workshop.</t>
        </is>
      </c>
    </row>
    <row r="20">
      <c r="A20" s="9" t="inlineStr">
        <is>
          <t>P1</t>
        </is>
      </c>
      <c r="B20" s="9" t="inlineStr">
        <is>
          <t>To build</t>
        </is>
      </c>
      <c r="C20" s="9" t="inlineStr">
        <is>
          <t>Follow the Flow · Tokenise &amp; integrate: Solutions Engineering</t>
        </is>
      </c>
      <c r="D20" s="9" t="inlineStr">
        <is>
          <t>Week 12 · Wed</t>
        </is>
      </c>
      <c r="E20" s="9" t="inlineStr">
        <is>
          <t>TBD with team lead</t>
        </is>
      </c>
      <c r="F20" s="9" t="inlineStr"/>
      <c r="G20" s="9" t="inlineStr"/>
      <c r="H20" s="9" t="inlineStr">
        <is>
          <t>Not started</t>
        </is>
      </c>
      <c r="I20" s="9" t="inlineStr"/>
      <c r="J20" s="9" t="inlineStr">
        <is>
          <t>Station in the Follow the Flow workshop. Also covers the NORAM gap intro for this team (UK/EEA-only in the catalogue).</t>
        </is>
      </c>
    </row>
    <row r="21">
      <c r="A21" s="9" t="inlineStr">
        <is>
          <t>P1</t>
        </is>
      </c>
      <c r="B21" s="9" t="inlineStr">
        <is>
          <t>To build</t>
        </is>
      </c>
      <c r="C21" s="9" t="inlineStr">
        <is>
          <t>Follow the Flow · Route: Partnerships + Financial Partnerships</t>
        </is>
      </c>
      <c r="D21" s="9" t="inlineStr">
        <is>
          <t>Week 12 · Wed</t>
        </is>
      </c>
      <c r="E21" s="9" t="inlineStr">
        <is>
          <t>TBD with team lead</t>
        </is>
      </c>
      <c r="F21" s="9" t="inlineStr"/>
      <c r="G21" s="9" t="inlineStr"/>
      <c r="H21" s="9" t="inlineStr">
        <is>
          <t>Not started</t>
        </is>
      </c>
      <c r="I21" s="9" t="inlineStr"/>
      <c r="J21" s="9" t="inlineStr">
        <is>
          <t>Station in the Follow the Flow workshop. Also covers the NORAM gap intro for this team (UK/EEA-only in the catalogue).</t>
        </is>
      </c>
    </row>
    <row r="22">
      <c r="A22" s="9" t="inlineStr">
        <is>
          <t>P1</t>
        </is>
      </c>
      <c r="B22" s="9" t="inlineStr">
        <is>
          <t>To build</t>
        </is>
      </c>
      <c r="C22" s="9" t="inlineStr">
        <is>
          <t>Follow the Flow · Settle: Account Management</t>
        </is>
      </c>
      <c r="D22" s="9" t="inlineStr">
        <is>
          <t>Week 12 · Wed</t>
        </is>
      </c>
      <c r="E22" s="9" t="inlineStr">
        <is>
          <t>TBD with team lead</t>
        </is>
      </c>
      <c r="F22" s="9" t="inlineStr"/>
      <c r="G22" s="9" t="inlineStr"/>
      <c r="H22" s="9" t="inlineStr">
        <is>
          <t>Not started</t>
        </is>
      </c>
      <c r="I22" s="9" t="inlineStr"/>
      <c r="J22" s="9" t="inlineStr">
        <is>
          <t>Station in the Follow the Flow workshop. Also covers the NORAM gap intro for this team (UK/EEA-only in the catalogue).</t>
        </is>
      </c>
    </row>
    <row r="23">
      <c r="A23" s="9" t="inlineStr">
        <is>
          <t>P1</t>
        </is>
      </c>
      <c r="B23" s="9" t="inlineStr">
        <is>
          <t>To build</t>
        </is>
      </c>
      <c r="C23" s="9" t="inlineStr">
        <is>
          <t>Follow the Flow · Reconcile: RevOps &amp; BDR</t>
        </is>
      </c>
      <c r="D23" s="9" t="inlineStr">
        <is>
          <t>Week 12 · Wed</t>
        </is>
      </c>
      <c r="E23" s="9" t="inlineStr">
        <is>
          <t>Sandra Suen</t>
        </is>
      </c>
      <c r="F23" s="9" t="inlineStr"/>
      <c r="G23" s="9" t="inlineStr"/>
      <c r="H23" s="9" t="inlineStr">
        <is>
          <t>Not started</t>
        </is>
      </c>
      <c r="I23" s="9" t="inlineStr"/>
      <c r="J23" s="9" t="inlineStr">
        <is>
          <t>Station in the Follow the Flow workshop.</t>
        </is>
      </c>
    </row>
    <row r="24">
      <c r="A24" s="9" t="inlineStr">
        <is>
          <t>P1</t>
        </is>
      </c>
      <c r="B24" s="9" t="inlineStr">
        <is>
          <t>To build</t>
        </is>
      </c>
      <c r="C24" s="9" t="inlineStr">
        <is>
          <t>Business case lab: quantify the value</t>
        </is>
      </c>
      <c r="D24" s="9" t="inlineStr">
        <is>
          <t>Week 17 · Tue</t>
        </is>
      </c>
      <c r="E24" s="9" t="inlineStr">
        <is>
          <t>Solutions Engineering + Deal Management</t>
        </is>
      </c>
      <c r="F24" s="9" t="inlineStr"/>
      <c r="G24" s="9" t="inlineStr"/>
      <c r="H24" s="9" t="inlineStr">
        <is>
          <t>Not started</t>
        </is>
      </c>
      <c r="I24" s="9" t="inlineStr"/>
      <c r="J24" s="9" t="inlineStr">
        <is>
          <t>Turn your value hypothesis into a business case</t>
        </is>
      </c>
    </row>
    <row r="25">
      <c r="A25" s="9" t="inlineStr">
        <is>
          <t>P1</t>
        </is>
      </c>
      <c r="B25" s="9" t="inlineStr">
        <is>
          <t>To build</t>
        </is>
      </c>
      <c r="C25" s="9" t="inlineStr">
        <is>
          <t>Proposal dry run with buddy</t>
        </is>
      </c>
      <c r="D25" s="9" t="inlineStr">
        <is>
          <t>Week 17 · Thu</t>
        </is>
      </c>
      <c r="E25" s="9" t="inlineStr">
        <is>
          <t>Buddy</t>
        </is>
      </c>
      <c r="F25" s="9" t="inlineStr"/>
      <c r="G25" s="9" t="inlineStr"/>
      <c r="H25" s="9" t="inlineStr">
        <is>
          <t>Not started</t>
        </is>
      </c>
      <c r="I25" s="9" t="inlineStr"/>
      <c r="J25" s="9" t="inlineStr">
        <is>
          <t>Rehearse your Deal Room proposal</t>
        </is>
      </c>
    </row>
    <row r="26">
      <c r="A26" s="9" t="inlineStr">
        <is>
          <t>P1</t>
        </is>
      </c>
      <c r="B26" s="9" t="inlineStr">
        <is>
          <t>To build</t>
        </is>
      </c>
      <c r="C26" s="9" t="inlineStr">
        <is>
          <t>Deal Room: present your top live deal</t>
        </is>
      </c>
      <c r="D26" s="9" t="inlineStr">
        <is>
          <t>Week 18 · Wed</t>
        </is>
      </c>
      <c r="E26" s="9" t="inlineStr">
        <is>
          <t>Line manager + Deal Desk</t>
        </is>
      </c>
      <c r="F26" s="9" t="inlineStr"/>
      <c r="G26" s="9" t="inlineStr"/>
      <c r="H26" s="9" t="inlineStr">
        <is>
          <t>Not started</t>
        </is>
      </c>
      <c r="I26" s="9" t="inlineStr"/>
      <c r="J26" s="9" t="inlineStr">
        <is>
          <t>Coaching, not scored; certifications are done by Day 30.</t>
        </is>
      </c>
    </row>
    <row r="27">
      <c r="A27" s="9" t="inlineStr">
        <is>
          <t>P1</t>
        </is>
      </c>
      <c r="B27" s="9" t="inlineStr">
        <is>
          <t>To build</t>
        </is>
      </c>
      <c r="C27" s="9" t="inlineStr">
        <is>
          <t>Day 90 review &amp; graduation</t>
        </is>
      </c>
      <c r="D27" s="9" t="inlineStr">
        <is>
          <t>Week 18 · Fri</t>
        </is>
      </c>
      <c r="E27" s="9" t="inlineStr">
        <is>
          <t>Line manager + Enablement</t>
        </is>
      </c>
      <c r="F27" s="9" t="inlineStr"/>
      <c r="G27" s="9" t="inlineStr"/>
      <c r="H27" s="9" t="inlineStr">
        <is>
          <t>Not started</t>
        </is>
      </c>
      <c r="I27" s="9" t="inlineStr"/>
      <c r="J27" s="9" t="inlineStr">
        <is>
          <t>Review ramp against quota trajectory and set a Days 91–180 development plan</t>
        </is>
      </c>
    </row>
    <row r="28">
      <c r="A28" s="9" t="inlineStr">
        <is>
          <t>P1</t>
        </is>
      </c>
      <c r="B28" s="9" t="inlineStr">
        <is>
          <t>To build</t>
        </is>
      </c>
      <c r="C28" s="9" t="inlineStr">
        <is>
          <t>Yearly recertification: Explore &amp; Pitch</t>
        </is>
      </c>
      <c r="D28" s="9" t="inlineStr">
        <is>
          <t>After Day 90</t>
        </is>
      </c>
      <c r="E28" s="9" t="inlineStr">
        <is>
          <t>Enablement</t>
        </is>
      </c>
      <c r="F28" s="9" t="inlineStr"/>
      <c r="G28" s="9" t="inlineStr"/>
      <c r="H28" s="9" t="inlineStr">
        <is>
          <t>Not started</t>
        </is>
      </c>
      <c r="I28" s="9" t="inlineStr"/>
      <c r="J28" s="9" t="inlineStr">
        <is>
          <t>Keep the bar consistent for tenured AEs</t>
        </is>
      </c>
    </row>
    <row r="29">
      <c r="A29" s="9" t="inlineStr">
        <is>
          <t>P2</t>
        </is>
      </c>
      <c r="B29" s="9" t="inlineStr">
        <is>
          <t>To build</t>
        </is>
      </c>
      <c r="C29" s="9" t="inlineStr">
        <is>
          <t>Welcome pack, 90-day map &amp; personal tracker</t>
        </is>
      </c>
      <c r="D29" s="9" t="inlineStr">
        <is>
          <t>Before Day 1</t>
        </is>
      </c>
      <c r="E29" s="9" t="inlineStr">
        <is>
          <t>Enablement</t>
        </is>
      </c>
      <c r="F29" s="9" t="inlineStr"/>
      <c r="G29" s="9" t="inlineStr"/>
      <c r="H29" s="9" t="inlineStr">
        <is>
          <t>Not started</t>
        </is>
      </c>
      <c r="I29" s="9" t="inlineStr"/>
      <c r="J29" s="9" t="inlineStr">
        <is>
          <t>Send the personal tracker and programme map before Day 1.</t>
        </is>
      </c>
    </row>
    <row r="30">
      <c r="A30" s="9" t="inlineStr">
        <is>
          <t>P2</t>
        </is>
      </c>
      <c r="B30" s="9" t="inlineStr">
        <is>
          <t>To build</t>
        </is>
      </c>
      <c r="C30" s="9" t="inlineStr">
        <is>
          <t>Intro to Issuing (NORAM)</t>
        </is>
      </c>
      <c r="D30" s="9" t="inlineStr">
        <is>
          <t>Week 3 · Thu</t>
        </is>
      </c>
      <c r="E30" s="9" t="inlineStr">
        <is>
          <t>TBD with team lead</t>
        </is>
      </c>
      <c r="F30" s="9" t="inlineStr"/>
      <c r="G30" s="9" t="inlineStr"/>
      <c r="H30" s="9" t="inlineStr">
        <is>
          <t>Not started</t>
        </is>
      </c>
      <c r="I30" s="9" t="inlineStr"/>
      <c r="J30" s="9" t="inlineStr">
        <is>
          <t>Exists for UK/EEA only today (catalogue #48). Build a NORAM version.</t>
        </is>
      </c>
    </row>
    <row r="31">
      <c r="A31" s="9" t="inlineStr">
        <is>
          <t>P2</t>
        </is>
      </c>
      <c r="B31" s="9" t="inlineStr">
        <is>
          <t>To build</t>
        </is>
      </c>
      <c r="C31" s="9" t="inlineStr">
        <is>
          <t>Intro to Commercial &amp; Merchant Insights (NORAM)</t>
        </is>
      </c>
      <c r="D31" s="9" t="inlineStr">
        <is>
          <t>Week 4 · Wed</t>
        </is>
      </c>
      <c r="E31" s="9" t="inlineStr">
        <is>
          <t>TBD with team lead</t>
        </is>
      </c>
      <c r="F31" s="9" t="inlineStr"/>
      <c r="G31" s="9" t="inlineStr"/>
      <c r="H31" s="9" t="inlineStr">
        <is>
          <t>Not started</t>
        </is>
      </c>
      <c r="I31" s="9" t="inlineStr"/>
      <c r="J31" s="9" t="inlineStr">
        <is>
          <t>Exists for UK/EEA only today (catalogue #47). Build a NORAM version.</t>
        </is>
      </c>
    </row>
    <row r="32">
      <c r="A32" s="9" t="inlineStr">
        <is>
          <t>P2</t>
        </is>
      </c>
      <c r="B32" s="9" t="inlineStr">
        <is>
          <t>To build</t>
        </is>
      </c>
      <c r="C32" s="9" t="inlineStr">
        <is>
          <t>Day 30 review</t>
        </is>
      </c>
      <c r="D32" s="9" t="inlineStr">
        <is>
          <t>Week 6 · Fri</t>
        </is>
      </c>
      <c r="E32" s="9" t="inlineStr">
        <is>
          <t>Line manager</t>
        </is>
      </c>
      <c r="F32" s="9" t="inlineStr"/>
      <c r="G32" s="9" t="inlineStr"/>
      <c r="H32" s="9" t="inlineStr">
        <is>
          <t>Not started</t>
        </is>
      </c>
      <c r="I32" s="9" t="inlineStr"/>
      <c r="J32" s="9" t="inlineStr">
        <is>
          <t>Agree certification results and your Days 31–60 plan with your manager</t>
        </is>
      </c>
    </row>
    <row r="33">
      <c r="A33" s="9" t="inlineStr">
        <is>
          <t>P2</t>
        </is>
      </c>
      <c r="B33" s="9" t="inlineStr">
        <is>
          <t>To build</t>
        </is>
      </c>
      <c r="C33" s="9" t="inlineStr">
        <is>
          <t>Certification retakes + supplemental materials (as needed)</t>
        </is>
      </c>
      <c r="D33" s="9" t="inlineStr">
        <is>
          <t>Week 7 · Mon</t>
        </is>
      </c>
      <c r="E33" s="9" t="inlineStr">
        <is>
          <t>Enablement</t>
        </is>
      </c>
      <c r="F33" s="9" t="inlineStr"/>
      <c r="G33" s="9" t="inlineStr"/>
      <c r="H33" s="9" t="inlineStr">
        <is>
          <t>Not started</t>
        </is>
      </c>
      <c r="I33" s="9" t="inlineStr"/>
      <c r="J33" s="9" t="inlineStr">
        <is>
          <t>Only for AEs who need a retake. Everyone else keeps prospecting.</t>
        </is>
      </c>
    </row>
    <row r="34">
      <c r="A34" s="9" t="inlineStr">
        <is>
          <t>P2</t>
        </is>
      </c>
      <c r="B34" s="9" t="inlineStr">
        <is>
          <t>To build</t>
        </is>
      </c>
      <c r="C34" s="9" t="inlineStr">
        <is>
          <t>Intro to Pricing (NORAM)</t>
        </is>
      </c>
      <c r="D34" s="9" t="inlineStr">
        <is>
          <t>Week 8 · Tue</t>
        </is>
      </c>
      <c r="E34" s="9" t="inlineStr">
        <is>
          <t>TBD with team lead</t>
        </is>
      </c>
      <c r="F34" s="9" t="inlineStr"/>
      <c r="G34" s="9" t="inlineStr"/>
      <c r="H34" s="9" t="inlineStr">
        <is>
          <t>Not started</t>
        </is>
      </c>
      <c r="I34" s="9" t="inlineStr"/>
      <c r="J34" s="9" t="inlineStr">
        <is>
          <t>Exists for UK/EEA only today (catalogue #46). Build a NORAM version.</t>
        </is>
      </c>
    </row>
    <row r="35">
      <c r="A35" s="9" t="inlineStr">
        <is>
          <t>P2</t>
        </is>
      </c>
      <c r="B35" s="9" t="inlineStr">
        <is>
          <t>To build</t>
        </is>
      </c>
      <c r="C35" s="9" t="inlineStr">
        <is>
          <t>Payment performance metrics that matter</t>
        </is>
      </c>
      <c r="D35" s="9" t="inlineStr">
        <is>
          <t>Week 8 · Thu</t>
        </is>
      </c>
      <c r="E35" s="9" t="inlineStr">
        <is>
          <t>Solutions Engineering + Product</t>
        </is>
      </c>
      <c r="F35" s="9" t="inlineStr"/>
      <c r="G35" s="9" t="inlineStr"/>
      <c r="H35" s="9" t="inlineStr">
        <is>
          <t>Not started</t>
        </is>
      </c>
      <c r="I35" s="9" t="inlineStr"/>
      <c r="J35" s="9" t="inlineStr">
        <is>
          <t>Builds on the Decline Code and PPA cheat sheets.</t>
        </is>
      </c>
    </row>
    <row r="36">
      <c r="A36" s="9" t="inlineStr">
        <is>
          <t>P2</t>
        </is>
      </c>
      <c r="B36" s="9" t="inlineStr">
        <is>
          <t>To build</t>
        </is>
      </c>
      <c r="C36" s="9" t="inlineStr">
        <is>
          <t>Voice of the customer: Head of Payments panel</t>
        </is>
      </c>
      <c r="D36" s="9" t="inlineStr">
        <is>
          <t>Week 10 · Tue</t>
        </is>
      </c>
      <c r="E36" s="9" t="inlineStr">
        <is>
          <t>Jaime Yeager / Jim Cho</t>
        </is>
      </c>
      <c r="F36" s="9" t="inlineStr"/>
      <c r="G36" s="9" t="inlineStr"/>
      <c r="H36" s="9" t="inlineStr">
        <is>
          <t>Not started</t>
        </is>
      </c>
      <c r="I36" s="9" t="inlineStr"/>
      <c r="J36" s="9" t="inlineStr">
        <is>
          <t>Planned before but never scheduled.</t>
        </is>
      </c>
    </row>
    <row r="37">
      <c r="A37" s="9" t="inlineStr">
        <is>
          <t>P2</t>
        </is>
      </c>
      <c r="B37" s="9" t="inlineStr">
        <is>
          <t>To build</t>
        </is>
      </c>
      <c r="C37" s="9" t="inlineStr">
        <is>
          <t>Top-rep Q&amp;A, every two weeks</t>
        </is>
      </c>
      <c r="D37" s="9" t="inlineStr">
        <is>
          <t>Week 10 · Wed</t>
        </is>
      </c>
      <c r="E37" s="9" t="inlineStr">
        <is>
          <t>Sam Boukhiam / Louis Taupin</t>
        </is>
      </c>
      <c r="F37" s="9" t="inlineStr"/>
      <c r="G37" s="9" t="inlineStr"/>
      <c r="H37" s="9" t="inlineStr">
        <is>
          <t>Not started</t>
        </is>
      </c>
      <c r="I37" s="9" t="inlineStr"/>
      <c r="J37" s="9" t="inlineStr">
        <is>
          <t>Planned before but never started.</t>
        </is>
      </c>
    </row>
    <row r="38">
      <c r="A38" s="9" t="inlineStr">
        <is>
          <t>P2</t>
        </is>
      </c>
      <c r="B38" s="9" t="inlineStr">
        <is>
          <t>To build</t>
        </is>
      </c>
      <c r="C38" s="9" t="inlineStr">
        <is>
          <t>Day 60 review</t>
        </is>
      </c>
      <c r="D38" s="9" t="inlineStr">
        <is>
          <t>Week 12 · Fri</t>
        </is>
      </c>
      <c r="E38" s="9" t="inlineStr">
        <is>
          <t>Line manager</t>
        </is>
      </c>
      <c r="F38" s="9" t="inlineStr"/>
      <c r="G38" s="9" t="inlineStr"/>
      <c r="H38" s="9" t="inlineStr">
        <is>
          <t>Not started</t>
        </is>
      </c>
      <c r="I38" s="9" t="inlineStr"/>
      <c r="J38" s="9" t="inlineStr">
        <is>
          <t>Review pipeline, activity and ramp, and agree your Days 61–90 plan</t>
        </is>
      </c>
    </row>
    <row r="39">
      <c r="A39" s="9" t="inlineStr">
        <is>
          <t>P2</t>
        </is>
      </c>
      <c r="B39" s="9" t="inlineStr">
        <is>
          <t>To build</t>
        </is>
      </c>
      <c r="C39" s="9" t="inlineStr">
        <is>
          <t>Pricing guidance &amp; take rate</t>
        </is>
      </c>
      <c r="D39" s="9" t="inlineStr">
        <is>
          <t>Week 13 · Tue</t>
        </is>
      </c>
      <c r="E39" s="9" t="inlineStr">
        <is>
          <t>Jim Cho + Francesco Falcone</t>
        </is>
      </c>
      <c r="F39" s="9" t="inlineStr"/>
      <c r="G39" s="9" t="inlineStr"/>
      <c r="H39" s="9" t="inlineStr">
        <is>
          <t>Not started</t>
        </is>
      </c>
      <c r="I39" s="9" t="inlineStr"/>
      <c r="J39" s="9" t="inlineStr">
        <is>
          <t>Listed before but never scheduled.</t>
        </is>
      </c>
    </row>
    <row r="40">
      <c r="A40" s="9" t="inlineStr">
        <is>
          <t>P2</t>
        </is>
      </c>
      <c r="B40" s="9" t="inlineStr">
        <is>
          <t>To build</t>
        </is>
      </c>
      <c r="C40" s="9" t="inlineStr">
        <is>
          <t>Payments economics: interchange++, fee &amp; cost analysis</t>
        </is>
      </c>
      <c r="D40" s="9" t="inlineStr">
        <is>
          <t>Week 14 · Thu</t>
        </is>
      </c>
      <c r="E40" s="9" t="inlineStr">
        <is>
          <t>Deal Management + Solutions Engineering</t>
        </is>
      </c>
      <c r="F40" s="9" t="inlineStr"/>
      <c r="G40" s="9" t="inlineStr"/>
      <c r="H40" s="9" t="inlineStr">
        <is>
          <t>Not started</t>
        </is>
      </c>
      <c r="I40" s="9" t="inlineStr"/>
      <c r="J40" s="9" t="inlineStr">
        <is>
          <t>Examples exist (Gopuff and Rhino + Jetty cost analyses, L2/L3) but there's no session.</t>
        </is>
      </c>
    </row>
    <row r="41">
      <c r="A41" s="9" t="inlineStr">
        <is>
          <t>P2</t>
        </is>
      </c>
      <c r="B41" s="9" t="inlineStr">
        <is>
          <t>To build</t>
        </is>
      </c>
      <c r="C41" s="9" t="inlineStr">
        <is>
          <t>Trade, deal structure &amp; negotiation case studies</t>
        </is>
      </c>
      <c r="D41" s="9" t="inlineStr">
        <is>
          <t>Week 15 · Mon</t>
        </is>
      </c>
      <c r="E41" s="9" t="inlineStr">
        <is>
          <t>Pod lead (TBD)</t>
        </is>
      </c>
      <c r="F41" s="9" t="inlineStr"/>
      <c r="G41" s="9" t="inlineStr"/>
      <c r="H41" s="9" t="inlineStr">
        <is>
          <t>Not started</t>
        </is>
      </c>
      <c r="I41" s="9" t="inlineStr"/>
      <c r="J41" s="9" t="inlineStr">
        <is>
          <t>Negotiate terms, get pricing approved and set minimum billing</t>
        </is>
      </c>
    </row>
    <row r="42">
      <c r="A42" s="9" t="inlineStr">
        <is>
          <t>P2</t>
        </is>
      </c>
      <c r="B42" s="9" t="inlineStr">
        <is>
          <t>Needs refresh</t>
        </is>
      </c>
      <c r="C42" s="9" t="inlineStr">
        <is>
          <t>Buddy assigned + manager welcome call</t>
        </is>
      </c>
      <c r="D42" s="9" t="inlineStr">
        <is>
          <t>Before Day 1</t>
        </is>
      </c>
      <c r="E42" s="9" t="inlineStr">
        <is>
          <t>Line manager</t>
        </is>
      </c>
      <c r="F42" s="9" t="inlineStr"/>
      <c r="G42" s="9" t="inlineStr"/>
      <c r="H42" s="9" t="inlineStr">
        <is>
          <t>Not started</t>
        </is>
      </c>
      <c r="I42" s="9" t="inlineStr"/>
      <c r="J42" s="9" t="inlineStr">
        <is>
          <t>Formalise buddies with a one-page guide and a weekly 30-minute slot.</t>
        </is>
      </c>
    </row>
    <row r="43">
      <c r="A43" s="9" t="inlineStr">
        <is>
          <t>P2</t>
        </is>
      </c>
      <c r="B43" s="9" t="inlineStr">
        <is>
          <t>Needs refresh</t>
        </is>
      </c>
      <c r="C43" s="9" t="inlineStr">
        <is>
          <t>Finding answers: Drive, Confluence &amp; Glean</t>
        </is>
      </c>
      <c r="D43" s="9" t="inlineStr">
        <is>
          <t>Week 1 · Wed</t>
        </is>
      </c>
      <c r="E43" s="9" t="inlineStr">
        <is>
          <t>Enablement</t>
        </is>
      </c>
      <c r="F43" s="9" t="inlineStr"/>
      <c r="G43" s="9" t="inlineStr"/>
      <c r="H43" s="9" t="inlineStr">
        <is>
          <t>Not started</t>
        </is>
      </c>
      <c r="I43" s="9" t="inlineStr"/>
      <c r="J43" s="9" t="inlineStr">
        <is>
          <t>Update for the move away from Highspot to Drive, and for Glean adoption.</t>
        </is>
      </c>
    </row>
    <row r="44">
      <c r="A44" s="9" t="inlineStr">
        <is>
          <t>P2</t>
        </is>
      </c>
      <c r="B44" s="9" t="inlineStr">
        <is>
          <t>Needs refresh</t>
        </is>
      </c>
      <c r="C44" s="9" t="inlineStr">
        <is>
          <t>Mandatory compliance training (Spark)</t>
        </is>
      </c>
      <c r="D44" s="9" t="inlineStr">
        <is>
          <t>Week 1 · Thu</t>
        </is>
      </c>
      <c r="E44" s="9" t="inlineStr">
        <is>
          <t>New hire</t>
        </is>
      </c>
      <c r="F44" s="9" t="inlineStr"/>
      <c r="G44" s="9" t="inlineStr"/>
      <c r="H44" s="9" t="inlineStr">
        <is>
          <t>Not started</t>
        </is>
      </c>
      <c r="I44" s="9" t="inlineStr"/>
      <c r="J44" s="9" t="inlineStr">
        <is>
          <t>Moving from Nova to Spark.</t>
        </is>
      </c>
    </row>
    <row r="45">
      <c r="A45" s="9" t="inlineStr">
        <is>
          <t>P2</t>
        </is>
      </c>
      <c r="B45" s="9" t="inlineStr">
        <is>
          <t>Needs refresh</t>
        </is>
      </c>
      <c r="C45" s="9" t="inlineStr">
        <is>
          <t>Payments Academy: Foundations 1–3</t>
        </is>
      </c>
      <c r="D45" s="9" t="inlineStr">
        <is>
          <t>Week 2 · Mon</t>
        </is>
      </c>
      <c r="E45" s="9" t="inlineStr">
        <is>
          <t>Self-directed</t>
        </is>
      </c>
      <c r="F45" s="9" t="inlineStr"/>
      <c r="G45" s="9" t="inlineStr"/>
      <c r="H45" s="9" t="inlineStr">
        <is>
          <t>Not started</t>
        </is>
      </c>
      <c r="I45" s="9" t="inlineStr"/>
      <c r="J45" s="9" t="inlineStr">
        <is>
          <t>Paced across Week 2 instead of Day 2, with a Friday live debrief.</t>
        </is>
      </c>
    </row>
    <row r="46">
      <c r="A46" s="9" t="inlineStr">
        <is>
          <t>P2</t>
        </is>
      </c>
      <c r="B46" s="9" t="inlineStr">
        <is>
          <t>Needs refresh</t>
        </is>
      </c>
      <c r="C46" s="9" t="inlineStr">
        <is>
          <t>Payments Academy: Foundations 4–6</t>
        </is>
      </c>
      <c r="D46" s="9" t="inlineStr">
        <is>
          <t>Week 2 · Wed</t>
        </is>
      </c>
      <c r="E46" s="9" t="inlineStr">
        <is>
          <t>Self-directed</t>
        </is>
      </c>
      <c r="F46" s="9" t="inlineStr"/>
      <c r="G46" s="9" t="inlineStr"/>
      <c r="H46" s="9" t="inlineStr">
        <is>
          <t>Not started</t>
        </is>
      </c>
      <c r="I46" s="9" t="inlineStr"/>
      <c r="J46" s="9" t="inlineStr">
        <is>
          <t>Map the key players and the life cycle of a transaction</t>
        </is>
      </c>
    </row>
    <row r="47">
      <c r="A47" s="9" t="inlineStr">
        <is>
          <t>P2</t>
        </is>
      </c>
      <c r="B47" s="9" t="inlineStr">
        <is>
          <t>Needs refresh</t>
        </is>
      </c>
      <c r="C47" s="9" t="inlineStr">
        <is>
          <t>Payments Academy: Foundations 7–10 + live debrief</t>
        </is>
      </c>
      <c r="D47" s="9" t="inlineStr">
        <is>
          <t>Week 2 · Fri</t>
        </is>
      </c>
      <c r="E47" s="9" t="inlineStr">
        <is>
          <t>Enablement</t>
        </is>
      </c>
      <c r="F47" s="9" t="inlineStr"/>
      <c r="G47" s="9" t="inlineStr"/>
      <c r="H47" s="9" t="inlineStr">
        <is>
          <t>Not started</t>
        </is>
      </c>
      <c r="I47" s="9" t="inlineStr"/>
      <c r="J47" s="9" t="inlineStr">
        <is>
          <t>The debrief turns the modules into talk tracks.</t>
        </is>
      </c>
    </row>
    <row r="48">
      <c r="A48" s="9" t="inlineStr">
        <is>
          <t>P2</t>
        </is>
      </c>
      <c r="B48" s="9" t="inlineStr">
        <is>
          <t>Needs refresh</t>
        </is>
      </c>
      <c r="C48" s="9" t="inlineStr">
        <is>
          <t>Pillars in live deals: Connect &amp; Move</t>
        </is>
      </c>
      <c r="D48" s="9" t="inlineStr">
        <is>
          <t>Week 3 · Mon</t>
        </is>
      </c>
      <c r="E48" s="9" t="inlineStr">
        <is>
          <t>Pod leads</t>
        </is>
      </c>
      <c r="F48" s="9" t="inlineStr"/>
      <c r="G48" s="9" t="inlineStr"/>
      <c r="H48" s="9" t="inlineStr">
        <is>
          <t>Not started</t>
        </is>
      </c>
      <c r="I48" s="9" t="inlineStr"/>
      <c r="J48" s="9" t="inlineStr">
        <is>
          <t>Replace generic sales-perspective sessions with 30-minute live-deal walk-throughs built on a vertical use case.</t>
        </is>
      </c>
    </row>
    <row r="49">
      <c r="A49" s="9" t="inlineStr">
        <is>
          <t>P2</t>
        </is>
      </c>
      <c r="B49" s="9" t="inlineStr">
        <is>
          <t>Needs refresh</t>
        </is>
      </c>
      <c r="C49" s="9" t="inlineStr">
        <is>
          <t>Salesforce, Clari &amp; pipeline hygiene</t>
        </is>
      </c>
      <c r="D49" s="9" t="inlineStr">
        <is>
          <t>Week 3 · Tue</t>
        </is>
      </c>
      <c r="E49" s="9" t="inlineStr">
        <is>
          <t>Enablement</t>
        </is>
      </c>
      <c r="F49" s="9" t="inlineStr"/>
      <c r="G49" s="9" t="inlineStr"/>
      <c r="H49" s="9" t="inlineStr">
        <is>
          <t>Not started</t>
        </is>
      </c>
      <c r="I49" s="9" t="inlineStr"/>
      <c r="J49" s="9" t="inlineStr">
        <is>
          <t>Material still to be put together.</t>
        </is>
      </c>
    </row>
    <row r="50">
      <c r="A50" s="9" t="inlineStr">
        <is>
          <t>P2</t>
        </is>
      </c>
      <c r="B50" s="9" t="inlineStr">
        <is>
          <t>Needs refresh</t>
        </is>
      </c>
      <c r="C50" s="9" t="inlineStr">
        <is>
          <t>Pillars in live deals: Protect, Boost &amp; Manage</t>
        </is>
      </c>
      <c r="D50" s="9" t="inlineStr">
        <is>
          <t>Week 3 · Thu</t>
        </is>
      </c>
      <c r="E50" s="9" t="inlineStr">
        <is>
          <t>Pod leads</t>
        </is>
      </c>
      <c r="F50" s="9" t="inlineStr"/>
      <c r="G50" s="9" t="inlineStr"/>
      <c r="H50" s="9" t="inlineStr">
        <is>
          <t>Not started</t>
        </is>
      </c>
      <c r="I50" s="9" t="inlineStr"/>
      <c r="J50" s="9" t="inlineStr">
        <is>
          <t>See how Protect, Boost and Manage win real NORAM deals</t>
        </is>
      </c>
    </row>
    <row r="51">
      <c r="A51" s="9" t="inlineStr">
        <is>
          <t>P2</t>
        </is>
      </c>
      <c r="B51" s="9" t="inlineStr">
        <is>
          <t>Needs refresh</t>
        </is>
      </c>
      <c r="C51" s="9" t="inlineStr">
        <is>
          <t>Elevator pitch + five-pillar knowledge check</t>
        </is>
      </c>
      <c r="D51" s="9" t="inlineStr">
        <is>
          <t>Week 5 · Mon</t>
        </is>
      </c>
      <c r="E51" s="9" t="inlineStr">
        <is>
          <t>Line manager + Enablement</t>
        </is>
      </c>
      <c r="F51" s="9" t="inlineStr"/>
      <c r="G51" s="9" t="inlineStr"/>
      <c r="H51" s="9" t="inlineStr">
        <is>
          <t>Not started</t>
        </is>
      </c>
      <c r="I51" s="9" t="inlineStr"/>
      <c r="J51" s="9" t="inlineStr">
        <is>
          <t>Practice step, not a gate. Combines today's pitch reviews and pillar Kahoots.</t>
        </is>
      </c>
    </row>
    <row r="52">
      <c r="A52" s="9" t="inlineStr">
        <is>
          <t>P2</t>
        </is>
      </c>
      <c r="B52" s="9" t="inlineStr">
        <is>
          <t>Needs refresh</t>
        </is>
      </c>
      <c r="C52" s="9" t="inlineStr">
        <is>
          <t>Intro to NORAM verticals &amp; where we win</t>
        </is>
      </c>
      <c r="D52" s="9" t="inlineStr">
        <is>
          <t>Week 7 · Mon</t>
        </is>
      </c>
      <c r="E52" s="9" t="inlineStr">
        <is>
          <t>Enablement</t>
        </is>
      </c>
      <c r="F52" s="9" t="inlineStr"/>
      <c r="G52" s="9" t="inlineStr"/>
      <c r="H52" s="9" t="inlineStr">
        <is>
          <t>Not started</t>
        </is>
      </c>
      <c r="I52" s="9" t="inlineStr"/>
      <c r="J52" s="9" t="inlineStr">
        <is>
          <t>Pair this with the North America Vertical List.</t>
        </is>
      </c>
    </row>
    <row r="53">
      <c r="A53" s="9" t="inlineStr">
        <is>
          <t>P2</t>
        </is>
      </c>
      <c r="B53" s="9" t="inlineStr">
        <is>
          <t>Needs refresh</t>
        </is>
      </c>
      <c r="C53" s="9" t="inlineStr">
        <is>
          <t>Visa Direct: AFTs &amp; card payouts</t>
        </is>
      </c>
      <c r="D53" s="9" t="inlineStr">
        <is>
          <t>Week 9 · Tue</t>
        </is>
      </c>
      <c r="E53" s="9" t="inlineStr">
        <is>
          <t>Sydney</t>
        </is>
      </c>
      <c r="F53" s="9" t="inlineStr"/>
      <c r="G53" s="9" t="inlineStr"/>
      <c r="H53" s="9" t="inlineStr">
        <is>
          <t>Not started</t>
        </is>
      </c>
      <c r="I53" s="9" t="inlineStr"/>
      <c r="J53" s="9" t="inlineStr">
        <is>
          <t>Paused while partnership terms are revamped.</t>
        </is>
      </c>
    </row>
    <row r="54">
      <c r="A54" s="9" t="inlineStr">
        <is>
          <t>P2</t>
        </is>
      </c>
      <c r="B54" s="9" t="inlineStr">
        <is>
          <t>Needs refresh</t>
        </is>
      </c>
      <c r="C54" s="9" t="inlineStr">
        <is>
          <t>Vertical deep dives: Insurance and Gaming &amp; Gambling</t>
        </is>
      </c>
      <c r="D54" s="9" t="inlineStr">
        <is>
          <t>Week 10 · Thu</t>
        </is>
      </c>
      <c r="E54" s="9" t="inlineStr">
        <is>
          <t>Olivia Smith / Aaron Popack</t>
        </is>
      </c>
      <c r="F54" s="9" t="inlineStr"/>
      <c r="G54" s="9" t="inlineStr"/>
      <c r="H54" s="9" t="inlineStr">
        <is>
          <t>Not started</t>
        </is>
      </c>
      <c r="I54" s="9" t="inlineStr"/>
      <c r="J54" s="9" t="inlineStr">
        <is>
          <t>On hold. Run Insurance virtually first.</t>
        </is>
      </c>
    </row>
    <row r="55">
      <c r="A55" s="9" t="inlineStr">
        <is>
          <t>P2</t>
        </is>
      </c>
      <c r="B55" s="9" t="inlineStr">
        <is>
          <t>Needs refresh</t>
        </is>
      </c>
      <c r="C55" s="9" t="inlineStr">
        <is>
          <t>Competitive deal clinic + refreshed battlecards</t>
        </is>
      </c>
      <c r="D55" s="9" t="inlineStr">
        <is>
          <t>Week 10 · Fri</t>
        </is>
      </c>
      <c r="E55" s="9" t="inlineStr">
        <is>
          <t>Jim Cho</t>
        </is>
      </c>
      <c r="F55" s="9" t="inlineStr"/>
      <c r="G55" s="9" t="inlineStr"/>
      <c r="H55" s="9" t="inlineStr">
        <is>
          <t>Not started</t>
        </is>
      </c>
      <c r="I55" s="9" t="inlineStr"/>
      <c r="J55" s="9" t="inlineStr">
        <is>
          <t>'Why Checkout Wins' battlecard is outdated; release refreshed cards with this session.</t>
        </is>
      </c>
    </row>
    <row r="56">
      <c r="A56" s="9" t="inlineStr">
        <is>
          <t>P2</t>
        </is>
      </c>
      <c r="B56" s="9" t="inlineStr">
        <is>
          <t>Needs refresh</t>
        </is>
      </c>
      <c r="C56" s="9" t="inlineStr">
        <is>
          <t>Objection handling drill + RevWay 10</t>
        </is>
      </c>
      <c r="D56" s="9" t="inlineStr">
        <is>
          <t>Week 15 · Thu</t>
        </is>
      </c>
      <c r="E56" s="9" t="inlineStr">
        <is>
          <t>Enablement</t>
        </is>
      </c>
      <c r="F56" s="9" t="inlineStr"/>
      <c r="G56" s="9" t="inlineStr"/>
      <c r="H56" s="9" t="inlineStr">
        <is>
          <t>Not started</t>
        </is>
      </c>
      <c r="I56" s="9" t="inlineStr"/>
      <c r="J56" s="9" t="inlineStr">
        <is>
          <t>Self-paced only today; add a live drill using the competitive defense playbook.</t>
        </is>
      </c>
    </row>
    <row r="57">
      <c r="A57" s="9" t="inlineStr">
        <is>
          <t>P2</t>
        </is>
      </c>
      <c r="B57" s="9" t="inlineStr">
        <is>
          <t>Needs refresh</t>
        </is>
      </c>
      <c r="C57" s="9" t="inlineStr">
        <is>
          <t>MBO, quota mechanics &amp; your path to quota</t>
        </is>
      </c>
      <c r="D57" s="9" t="inlineStr">
        <is>
          <t>Week 16 · Thu</t>
        </is>
      </c>
      <c r="E57" s="9" t="inlineStr">
        <is>
          <t>Francesco Falcone + Jim Cho</t>
        </is>
      </c>
      <c r="F57" s="9" t="inlineStr"/>
      <c r="G57" s="9" t="inlineStr"/>
      <c r="H57" s="9" t="inlineStr">
        <is>
          <t>Not started</t>
        </is>
      </c>
      <c r="I57" s="9" t="inlineStr"/>
      <c r="J57" s="9" t="inlineStr">
        <is>
          <t>Reschedule to 60 minutes with Jim, and invite newer hires.</t>
        </is>
      </c>
    </row>
  </sheetData>
  <autoFilter ref="A9:J57"/>
  <conditionalFormatting sqref="B10:B57">
    <cfRule type="cellIs" priority="1" operator="equal" dxfId="0">
      <formula>"Ready today"</formula>
    </cfRule>
    <cfRule type="cellIs" priority="2" operator="equal" dxfId="1">
      <formula>"Needs refresh"</formula>
    </cfRule>
    <cfRule type="cellIs" priority="3" operator="equal" dxfId="2">
      <formula>"To build"</formula>
    </cfRule>
  </conditionalFormatting>
  <conditionalFormatting sqref="H10:H57">
    <cfRule type="cellIs" priority="4" operator="equal" dxfId="0">
      <formula>"Done"</formula>
    </cfRule>
  </conditionalFormatting>
  <dataValidations count="2">
    <dataValidation sqref="H10:H107" showDropDown="0" showInputMessage="0" showErrorMessage="0" allowBlank="0" type="list">
      <formula1>"Not started,In design,In review,Pilot,Done"</formula1>
    </dataValidation>
    <dataValidation sqref="F10:F107" showDropDown="0" showInputMessage="0" showErrorMessage="0" allowBlank="0" type="list">
      <formula1>"Yes,No - suggest other,TBD"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2" customWidth="1" min="1" max="1"/>
    <col width="60" customWidth="1" min="2" max="2"/>
    <col width="14" customWidth="1" min="3" max="3"/>
    <col width="50" customWidth="1" min="4" max="4"/>
    <col width="14" customWidth="1" min="5" max="5"/>
    <col width="14" customWidth="1" min="6" max="6"/>
  </cols>
  <sheetData>
    <row r="1">
      <c r="A1" s="1" t="inlineStr">
        <is>
          <t>Explore Call Certification</t>
        </is>
      </c>
    </row>
    <row r="2">
      <c r="A2" s="2" t="inlineStr">
        <is>
          <t>One scorecard per AE. Copy the tab for each assessment.</t>
        </is>
      </c>
    </row>
    <row r="3">
      <c r="A3" s="3" t="inlineStr">
        <is>
          <t>Leadership summary</t>
        </is>
      </c>
    </row>
    <row r="4">
      <c r="A4" s="4" t="inlineStr">
        <is>
          <t>When</t>
        </is>
      </c>
      <c r="B4" s="5" t="inlineStr">
        <is>
          <t>Day 25 · Week 5 · Friday</t>
        </is>
      </c>
      <c r="C4" s="4" t="inlineStr">
        <is>
          <t>Pass mark</t>
        </is>
      </c>
      <c r="D4" s="5" t="inlineStr">
        <is>
          <t>≥ 80% overall (28/35) and no section below 3/5. Retake by Day 35, with supplemental materials from Enablement.</t>
        </is>
      </c>
      <c r="E4" s="4" t="inlineStr">
        <is>
          <t>Assessors</t>
        </is>
      </c>
      <c r="F4" s="5" t="inlineStr">
        <is>
          <t>Pod leads + Enablement, calibrated on the same rubric. Run as one batch day per cohort.</t>
        </is>
      </c>
    </row>
    <row r="6" ht="48" customHeight="1">
      <c r="A6" s="11" t="inlineStr">
        <is>
          <t>Format</t>
        </is>
      </c>
      <c r="B6" s="12" t="inlineStr">
        <is>
          <t>A 30-minute live, simulated Explore call. The assessor plays a standard scripted persona: the Head of Payments at a mid-market US subscription merchant. Recorded in Clari.</t>
        </is>
      </c>
    </row>
    <row r="8">
      <c r="A8" s="13" t="inlineStr">
        <is>
          <t>AE name</t>
        </is>
      </c>
    </row>
    <row r="9">
      <c r="A9" s="13" t="inlineStr">
        <is>
          <t>Assessor</t>
        </is>
      </c>
    </row>
    <row r="10">
      <c r="A10" s="13" t="inlineStr">
        <is>
          <t>Date</t>
        </is>
      </c>
    </row>
    <row r="12">
      <c r="A12" s="14" t="inlineStr">
        <is>
          <t>Section</t>
        </is>
      </c>
      <c r="B12" s="14" t="inlineStr">
        <is>
          <t>What good looks like</t>
        </is>
      </c>
      <c r="C12" s="14" t="inlineStr">
        <is>
          <t>Score (1–5)</t>
        </is>
      </c>
      <c r="D12" s="14" t="inlineStr">
        <is>
          <t>Evidence / coaching notes</t>
        </is>
      </c>
    </row>
    <row r="13">
      <c r="A13" s="12" t="inlineStr">
        <is>
          <t>Pre-call research &amp; hypothesis</t>
        </is>
      </c>
      <c r="B13" s="12" t="inlineStr">
        <is>
          <t>Knows the merchant's model, footprint, likely PSP set-up and a starting hypothesis</t>
        </is>
      </c>
    </row>
    <row r="14">
      <c r="A14" s="12" t="inlineStr">
        <is>
          <t>Opening &amp; upfront contract</t>
        </is>
      </c>
      <c r="B14" s="12" t="inlineStr">
        <is>
          <t>Clear agenda, time check and agreed outcome for the call</t>
        </is>
      </c>
    </row>
    <row r="15">
      <c r="A15" s="12" t="inlineStr">
        <is>
          <t>DEPTH questioning funnel</t>
        </is>
      </c>
      <c r="B15" s="12" t="inlineStr">
        <is>
          <t>Moves from broad to specific, with open questions and no early pitching</t>
        </is>
      </c>
    </row>
    <row r="16">
      <c r="A16" s="12" t="inlineStr">
        <is>
          <t>Payments pain quantified</t>
        </is>
      </c>
      <c r="B16" s="12" t="inlineStr">
        <is>
          <t>Uncovers and sizes at least one pain: auth rate, fraud, cost, APMs or payouts</t>
        </is>
      </c>
    </row>
    <row r="17">
      <c r="A17" s="12" t="inlineStr">
        <is>
          <t>Pillar mapping</t>
        </is>
      </c>
      <c r="B17" s="12" t="inlineStr">
        <is>
          <t>Links the pains to the right Checkout pillar and capability</t>
        </is>
      </c>
    </row>
    <row r="18">
      <c r="A18" s="12" t="inlineStr">
        <is>
          <t>Listening &amp; summarising</t>
        </is>
      </c>
      <c r="B18" s="12" t="inlineStr">
        <is>
          <t>Listens far more than talks, and plays the summary back accurately</t>
        </is>
      </c>
    </row>
    <row r="19">
      <c r="A19" s="12" t="inlineStr">
        <is>
          <t>Committed next step</t>
        </is>
      </c>
      <c r="B19" s="12" t="inlineStr">
        <is>
          <t>A dated next step with the right stakeholders</t>
        </is>
      </c>
    </row>
    <row r="21">
      <c r="A21" s="13" t="inlineStr">
        <is>
          <t>Total</t>
        </is>
      </c>
      <c r="C21">
        <f>SUM(C13:C19)</f>
        <v/>
      </c>
      <c r="D21" t="inlineStr">
        <is>
          <t>out of 35</t>
        </is>
      </c>
    </row>
    <row r="22">
      <c r="A22" s="13" t="inlineStr">
        <is>
          <t>Result</t>
        </is>
      </c>
      <c r="C22">
        <f>IF(COUNT(C13:C19)&lt;7,"Incomplete",IF(AND(SUM(C13:C19)&gt;=35*0.8,MIN(C13:C19)&gt;=3),"PASS","RETAKE by Day 35"))</f>
        <v/>
      </c>
    </row>
  </sheetData>
  <mergeCells count="1">
    <mergeCell ref="B6:F6"/>
  </mergeCells>
  <conditionalFormatting sqref="C22">
    <cfRule type="cellIs" priority="1" operator="equal" dxfId="0">
      <formula>"PASS"</formula>
    </cfRule>
    <cfRule type="cellIs" priority="2" operator="equal" dxfId="2">
      <formula>"RETAKE by Day 35"</formula>
    </cfRule>
  </conditionalFormatting>
  <dataValidations count="1">
    <dataValidation sqref="C13:C19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2" customWidth="1" min="1" max="1"/>
    <col width="60" customWidth="1" min="2" max="2"/>
    <col width="14" customWidth="1" min="3" max="3"/>
    <col width="50" customWidth="1" min="4" max="4"/>
    <col width="14" customWidth="1" min="5" max="5"/>
    <col width="14" customWidth="1" min="6" max="6"/>
  </cols>
  <sheetData>
    <row r="1">
      <c r="A1" s="1" t="inlineStr">
        <is>
          <t>Pitch Deck Certification</t>
        </is>
      </c>
    </row>
    <row r="2">
      <c r="A2" s="2" t="inlineStr">
        <is>
          <t>One scorecard per AE. Copy the tab for each assessment.</t>
        </is>
      </c>
    </row>
    <row r="3">
      <c r="A3" s="3" t="inlineStr">
        <is>
          <t>Leadership summary</t>
        </is>
      </c>
    </row>
    <row r="4">
      <c r="A4" s="4" t="inlineStr">
        <is>
          <t>When</t>
        </is>
      </c>
      <c r="B4" s="5" t="inlineStr">
        <is>
          <t>Day 30 · Week 6 · Friday</t>
        </is>
      </c>
      <c r="C4" s="4" t="inlineStr">
        <is>
          <t>Pass mark</t>
        </is>
      </c>
      <c r="D4" s="5" t="inlineStr">
        <is>
          <t>≥ 80% overall (28/35) and no section below 3/5. Retake by Day 35, with supplemental materials.</t>
        </is>
      </c>
      <c r="E4" s="4" t="inlineStr">
        <is>
          <t>Assessors</t>
        </is>
      </c>
      <c r="F4" s="5" t="inlineStr">
        <is>
          <t>Pod leads + Enablement, as a batch day per cohort</t>
        </is>
      </c>
    </row>
    <row r="6" ht="48" customHeight="1">
      <c r="A6" s="11" t="inlineStr">
        <is>
          <t>Format</t>
        </is>
      </c>
      <c r="B6" s="12" t="inlineStr">
        <is>
          <t>A first-meeting deck for the same standard case everyone gets: a fictional mid-market US subscription merchant on a legacy PSP, with involuntary churn and plans to expand into Canada. 15-minute presentation plus 10 minutes of panel Q&amp;A. No pricing at this stage.</t>
        </is>
      </c>
    </row>
    <row r="8">
      <c r="A8" s="13" t="inlineStr">
        <is>
          <t>AE name</t>
        </is>
      </c>
    </row>
    <row r="9">
      <c r="A9" s="13" t="inlineStr">
        <is>
          <t>Assessor</t>
        </is>
      </c>
    </row>
    <row r="10">
      <c r="A10" s="13" t="inlineStr">
        <is>
          <t>Date</t>
        </is>
      </c>
    </row>
    <row r="12">
      <c r="A12" s="14" t="inlineStr">
        <is>
          <t>Section</t>
        </is>
      </c>
      <c r="B12" s="14" t="inlineStr">
        <is>
          <t>What good looks like</t>
        </is>
      </c>
      <c r="C12" s="14" t="inlineStr">
        <is>
          <t>Score (1–5)</t>
        </is>
      </c>
      <c r="D12" s="14" t="inlineStr">
        <is>
          <t>Evidence / coaching notes</t>
        </is>
      </c>
    </row>
    <row r="13">
      <c r="A13" s="12" t="inlineStr">
        <is>
          <t>Merchant insight</t>
        </is>
      </c>
      <c r="B13" s="12" t="inlineStr">
        <is>
          <t>Opens with the merchant's world and priorities, not ours</t>
        </is>
      </c>
    </row>
    <row r="14">
      <c r="A14" s="12" t="inlineStr">
        <is>
          <t>Value narrative</t>
        </is>
      </c>
      <c r="B14" s="12" t="inlineStr">
        <is>
          <t>Connects their goals to the right Checkout pillars</t>
        </is>
      </c>
    </row>
    <row r="15">
      <c r="A15" s="12" t="inlineStr">
        <is>
          <t>Relevant proof</t>
        </is>
      </c>
      <c r="B15" s="12" t="inlineStr">
        <is>
          <t>Uses case studies or references for the vertical</t>
        </is>
      </c>
    </row>
    <row r="16">
      <c r="A16" s="12" t="inlineStr">
        <is>
          <t>Competitive positioning</t>
        </is>
      </c>
      <c r="B16" s="12" t="inlineStr">
        <is>
          <t>Positions against a legacy PSP without disparaging it</t>
        </is>
      </c>
    </row>
    <row r="17">
      <c r="A17" s="12" t="inlineStr">
        <is>
          <t>Clear ask &amp; next steps</t>
        </is>
      </c>
      <c r="B17" s="12" t="inlineStr">
        <is>
          <t>Ends with a specific next meeting and the stakeholders to bring</t>
        </is>
      </c>
    </row>
    <row r="18">
      <c r="A18" s="12" t="inlineStr">
        <is>
          <t>Deck craft</t>
        </is>
      </c>
      <c r="B18" s="12" t="inlineStr">
        <is>
          <t>Clean, concise, on-brand, using the Great Decks standards</t>
        </is>
      </c>
    </row>
    <row r="19">
      <c r="A19" s="12" t="inlineStr">
        <is>
          <t>Presence &amp; Q&amp;A</t>
        </is>
      </c>
      <c r="B19" s="12" t="inlineStr">
        <is>
          <t>Confident, concise, handles questions calmly</t>
        </is>
      </c>
    </row>
    <row r="21">
      <c r="A21" s="13" t="inlineStr">
        <is>
          <t>Total</t>
        </is>
      </c>
      <c r="C21">
        <f>SUM(C13:C19)</f>
        <v/>
      </c>
      <c r="D21" t="inlineStr">
        <is>
          <t>out of 35</t>
        </is>
      </c>
    </row>
    <row r="22">
      <c r="A22" s="13" t="inlineStr">
        <is>
          <t>Result</t>
        </is>
      </c>
      <c r="C22">
        <f>IF(COUNT(C13:C19)&lt;7,"Incomplete",IF(AND(SUM(C13:C19)&gt;=35*0.8,MIN(C13:C19)&gt;=3),"PASS","RETAKE by Day 35"))</f>
        <v/>
      </c>
    </row>
  </sheetData>
  <mergeCells count="1">
    <mergeCell ref="B6:F6"/>
  </mergeCells>
  <conditionalFormatting sqref="C22">
    <cfRule type="cellIs" priority="1" operator="equal" dxfId="0">
      <formula>"PASS"</formula>
    </cfRule>
    <cfRule type="cellIs" priority="2" operator="equal" dxfId="2">
      <formula>"RETAKE by Day 35"</formula>
    </cfRule>
  </conditionalFormatting>
  <dataValidations count="1">
    <dataValidation sqref="C13:C19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1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56" customWidth="1" min="3" max="3"/>
    <col width="13" customWidth="1" min="4" max="4"/>
    <col width="30" customWidth="1" min="5" max="5"/>
    <col width="22" customWidth="1" min="6" max="6"/>
    <col width="30" customWidth="1" min="7" max="7"/>
  </cols>
  <sheetData>
    <row r="1">
      <c r="A1" s="1" t="inlineStr">
        <is>
          <t>AE Onboarding Tracker</t>
        </is>
      </c>
    </row>
    <row r="2">
      <c r="A2" s="2" t="inlineStr">
        <is>
          <t>Make a copy for each new hire. Enter the start date and every target date fills in (working days).</t>
        </is>
      </c>
    </row>
    <row r="4">
      <c r="A4" s="13" t="inlineStr">
        <is>
          <t>Name:</t>
        </is>
      </c>
      <c r="D4" s="13" t="inlineStr">
        <is>
          <t>Region:</t>
        </is>
      </c>
      <c r="F4" s="4" t="inlineStr">
        <is>
          <t>Progress</t>
        </is>
      </c>
      <c r="G4" s="15">
        <f>IFERROR(COUNTIF(F13:F111,TRUE)/COUNTA(C13:C111),0)</f>
        <v/>
      </c>
    </row>
    <row r="5">
      <c r="A5" s="13" t="inlineStr">
        <is>
          <t>Start date:</t>
        </is>
      </c>
      <c r="B5" s="16" t="n"/>
      <c r="D5" s="13" t="inlineStr">
        <is>
          <t>Line manager:</t>
        </is>
      </c>
      <c r="F5" s="4" t="inlineStr">
        <is>
          <t>Explore cert (Day 25)</t>
        </is>
      </c>
      <c r="G5" s="17">
        <f>IF($B$5="","",WORKDAY($B$5,24))</f>
        <v/>
      </c>
    </row>
    <row r="6">
      <c r="A6" s="13" t="inlineStr">
        <is>
          <t>Cohort:</t>
        </is>
      </c>
      <c r="D6" s="13" t="inlineStr">
        <is>
          <t>Buddy:</t>
        </is>
      </c>
      <c r="F6" s="4" t="inlineStr">
        <is>
          <t>Pitch Deck cert (Day 30)</t>
        </is>
      </c>
      <c r="G6" s="17">
        <f>IF($B$5="","",WORKDAY($B$5,29))</f>
        <v/>
      </c>
    </row>
    <row r="7">
      <c r="F7" s="4" t="inlineStr">
        <is>
          <t>Follow the Flow (Day 60)</t>
        </is>
      </c>
      <c r="G7" s="17">
        <f>IF($B$5="","",WORKDAY($B$5,57))</f>
        <v/>
      </c>
    </row>
    <row r="8">
      <c r="F8" s="4" t="inlineStr">
        <is>
          <t>Deal Room (Day 90)</t>
        </is>
      </c>
      <c r="G8" s="17">
        <f>IF($B$5="","",WORKDAY($B$5,87))</f>
        <v/>
      </c>
    </row>
    <row r="12">
      <c r="A12" s="14" t="inlineStr">
        <is>
          <t>When</t>
        </is>
      </c>
      <c r="B12" s="14" t="inlineStr">
        <is>
          <t>Target date</t>
        </is>
      </c>
      <c r="C12" s="14" t="inlineStr">
        <is>
          <t>Session</t>
        </is>
      </c>
      <c r="D12" s="14" t="inlineStr">
        <is>
          <t>Format</t>
        </is>
      </c>
      <c r="E12" s="14" t="inlineStr">
        <is>
          <t>Owner</t>
        </is>
      </c>
      <c r="F12" s="14" t="inlineStr">
        <is>
          <t>Complete?</t>
        </is>
      </c>
      <c r="G12" s="14" t="inlineStr">
        <is>
          <t>My notes</t>
        </is>
      </c>
    </row>
    <row r="13">
      <c r="A13" t="inlineStr">
        <is>
          <t>Before Day 1</t>
        </is>
      </c>
      <c r="B13" s="18">
        <f>IF($B$5="","",WORKDAY($B$5,-3))</f>
        <v/>
      </c>
      <c r="C13" s="12" t="inlineStr">
        <is>
          <t>Welcome pack, 90-day map &amp; personal tracker</t>
        </is>
      </c>
      <c r="D13" t="inlineStr">
        <is>
          <t>Self-paced</t>
        </is>
      </c>
      <c r="E13" s="12" t="inlineStr">
        <is>
          <t>Enablement</t>
        </is>
      </c>
      <c r="F13" t="b">
        <v>0</v>
      </c>
    </row>
    <row r="14">
      <c r="A14" t="inlineStr">
        <is>
          <t>Before Day 1</t>
        </is>
      </c>
      <c r="B14" s="18">
        <f>IF($B$5="","",WORKDAY($B$5,-3))</f>
        <v/>
      </c>
      <c r="C14" s="12" t="inlineStr">
        <is>
          <t>Tool access requested (Salesforce, Clari, Apollo, LinkedIn Sales Nav, Glean)</t>
        </is>
      </c>
      <c r="D14" t="inlineStr">
        <is>
          <t>Self-paced</t>
        </is>
      </c>
      <c r="E14" s="12" t="inlineStr">
        <is>
          <t>Enablement + IT</t>
        </is>
      </c>
      <c r="F14" t="b">
        <v>0</v>
      </c>
    </row>
    <row r="15">
      <c r="A15" t="inlineStr">
        <is>
          <t>Before Day 1</t>
        </is>
      </c>
      <c r="B15" s="18">
        <f>IF($B$5="","",WORKDAY($B$5,-3))</f>
        <v/>
      </c>
      <c r="C15" s="12" t="inlineStr">
        <is>
          <t>Buddy assigned + manager welcome call</t>
        </is>
      </c>
      <c r="D15" t="inlineStr">
        <is>
          <t>Live</t>
        </is>
      </c>
      <c r="E15" s="12" t="inlineStr">
        <is>
          <t>Line manager</t>
        </is>
      </c>
      <c r="F15" t="b">
        <v>0</v>
      </c>
    </row>
    <row r="16">
      <c r="A16" t="inlineStr">
        <is>
          <t>Week 1 · Mon</t>
        </is>
      </c>
      <c r="B16" s="18">
        <f>IF($B$5="","",WORKDAY($B$5,0))</f>
        <v/>
      </c>
      <c r="C16" s="12" t="inlineStr">
        <is>
          <t>IT, People &amp; Benefits inductions</t>
        </is>
      </c>
      <c r="D16" t="inlineStr">
        <is>
          <t>Live</t>
        </is>
      </c>
      <c r="E16" s="12" t="inlineStr">
        <is>
          <t>People Team</t>
        </is>
      </c>
      <c r="F16" t="b">
        <v>0</v>
      </c>
    </row>
    <row r="17">
      <c r="A17" t="inlineStr">
        <is>
          <t>Week 1 · Mon</t>
        </is>
      </c>
      <c r="B17" s="18">
        <f>IF($B$5="","",WORKDAY($B$5,0))</f>
        <v/>
      </c>
      <c r="C17" s="12" t="inlineStr">
        <is>
          <t>Your onboarding plan: 90-day kickoff</t>
        </is>
      </c>
      <c r="D17" t="inlineStr">
        <is>
          <t>Live</t>
        </is>
      </c>
      <c r="E17" s="12" t="inlineStr">
        <is>
          <t>Enablement</t>
        </is>
      </c>
      <c r="F17" t="b">
        <v>0</v>
      </c>
    </row>
    <row r="18">
      <c r="A18" t="inlineStr">
        <is>
          <t>Week 1 · Mon</t>
        </is>
      </c>
      <c r="B18" s="18">
        <f>IF($B$5="","",WORKDAY($B$5,0))</f>
        <v/>
      </c>
      <c r="C18" s="12" t="inlineStr">
        <is>
          <t>Meet your pod + buddy coffee</t>
        </is>
      </c>
      <c r="D18" t="inlineStr">
        <is>
          <t>Practice</t>
        </is>
      </c>
      <c r="E18" s="12" t="inlineStr">
        <is>
          <t>Pod leader</t>
        </is>
      </c>
      <c r="F18" t="b">
        <v>0</v>
      </c>
    </row>
    <row r="19">
      <c r="A19" t="inlineStr">
        <is>
          <t>Week 1 · Tue</t>
        </is>
      </c>
      <c r="B19" s="18">
        <f>IF($B$5="","",WORKDAY($B$5,1))</f>
        <v/>
      </c>
      <c r="C19" s="12" t="inlineStr">
        <is>
          <t>Intro to Checkout's Revenue Organisation (NORAM)</t>
        </is>
      </c>
      <c r="D19" t="inlineStr">
        <is>
          <t>Live</t>
        </is>
      </c>
      <c r="E19" s="12" t="inlineStr">
        <is>
          <t>Jasmine Jancsik</t>
        </is>
      </c>
      <c r="F19" t="b">
        <v>0</v>
      </c>
    </row>
    <row r="20">
      <c r="A20" t="inlineStr">
        <is>
          <t>Week 1 · Tue</t>
        </is>
      </c>
      <c r="B20" s="18">
        <f>IF($B$5="","",WORKDAY($B$5,1))</f>
        <v/>
      </c>
      <c r="C20" s="12" t="inlineStr">
        <is>
          <t>Regional Intro to Rev Org: NORAM</t>
        </is>
      </c>
      <c r="D20" t="inlineStr">
        <is>
          <t>Live</t>
        </is>
      </c>
      <c r="E20" s="12" t="inlineStr">
        <is>
          <t>Jasmine Jancsik</t>
        </is>
      </c>
      <c r="F20" t="b">
        <v>0</v>
      </c>
    </row>
    <row r="21">
      <c r="A21" t="inlineStr">
        <is>
          <t>Week 1 · Tue</t>
        </is>
      </c>
      <c r="B21" s="18">
        <f>IF($B$5="","",WORKDAY($B$5,1))</f>
        <v/>
      </c>
      <c r="C21" s="12" t="inlineStr">
        <is>
          <t>Payments at Checkout in 60 minutes</t>
        </is>
      </c>
      <c r="D21" t="inlineStr">
        <is>
          <t>Live</t>
        </is>
      </c>
      <c r="E21" s="12" t="inlineStr">
        <is>
          <t>Enablement + Solutions Engineering</t>
        </is>
      </c>
      <c r="F21" t="b">
        <v>0</v>
      </c>
    </row>
    <row r="22">
      <c r="A22" t="inlineStr">
        <is>
          <t>Week 1 · Wed</t>
        </is>
      </c>
      <c r="B22" s="18">
        <f>IF($B$5="","",WORKDAY($B$5,2))</f>
        <v/>
      </c>
      <c r="C22" s="12" t="inlineStr">
        <is>
          <t>Sales Tools &amp; Chrome Extensions</t>
        </is>
      </c>
      <c r="D22" t="inlineStr">
        <is>
          <t>Live</t>
        </is>
      </c>
      <c r="E22" s="12" t="inlineStr">
        <is>
          <t>Jasmine Jancsik</t>
        </is>
      </c>
      <c r="F22" t="b">
        <v>0</v>
      </c>
    </row>
    <row r="23">
      <c r="A23" t="inlineStr">
        <is>
          <t>Week 1 · Wed</t>
        </is>
      </c>
      <c r="B23" s="18">
        <f>IF($B$5="","",WORKDAY($B$5,2))</f>
        <v/>
      </c>
      <c r="C23" s="12" t="inlineStr">
        <is>
          <t>Finding answers: Drive, Confluence &amp; Glean</t>
        </is>
      </c>
      <c r="D23" t="inlineStr">
        <is>
          <t>Live</t>
        </is>
      </c>
      <c r="E23" s="12" t="inlineStr">
        <is>
          <t>Enablement</t>
        </is>
      </c>
      <c r="F23" t="b">
        <v>0</v>
      </c>
    </row>
    <row r="24">
      <c r="A24" t="inlineStr">
        <is>
          <t>Week 1 · Thu</t>
        </is>
      </c>
      <c r="B24" s="18">
        <f>IF($B$5="","",WORKDAY($B$5,3))</f>
        <v/>
      </c>
      <c r="C24" s="12" t="inlineStr">
        <is>
          <t>Mandatory compliance training (Spark)</t>
        </is>
      </c>
      <c r="D24" t="inlineStr">
        <is>
          <t>Self-paced</t>
        </is>
      </c>
      <c r="E24" s="12" t="inlineStr">
        <is>
          <t>New hire</t>
        </is>
      </c>
      <c r="F24" t="b">
        <v>0</v>
      </c>
    </row>
    <row r="25">
      <c r="A25" t="inlineStr">
        <is>
          <t>Week 1 · Thu</t>
        </is>
      </c>
      <c r="B25" s="18">
        <f>IF($B$5="","",WORKDAY($B$5,3))</f>
        <v/>
      </c>
      <c r="C25" s="12" t="inlineStr">
        <is>
          <t>RevWay 0–1: Intro to Revenue Way &amp; Buyer Psychology</t>
        </is>
      </c>
      <c r="D25" t="inlineStr">
        <is>
          <t>Self-paced</t>
        </is>
      </c>
      <c r="E25" s="12" t="inlineStr">
        <is>
          <t>Self-directed</t>
        </is>
      </c>
      <c r="F25" t="b">
        <v>0</v>
      </c>
    </row>
    <row r="26">
      <c r="A26" t="inlineStr">
        <is>
          <t>Week 1 · Fri</t>
        </is>
      </c>
      <c r="B26" s="18">
        <f>IF($B$5="","",WORKDAY($B$5,4))</f>
        <v/>
      </c>
      <c r="C26" s="12" t="inlineStr">
        <is>
          <t>Office hours with the NORAM GM</t>
        </is>
      </c>
      <c r="D26" t="inlineStr">
        <is>
          <t>Live</t>
        </is>
      </c>
      <c r="E26" s="12" t="inlineStr">
        <is>
          <t>Zack Levine</t>
        </is>
      </c>
      <c r="F26" t="b">
        <v>0</v>
      </c>
    </row>
    <row r="27">
      <c r="A27" t="inlineStr">
        <is>
          <t>Week 1 · Fri</t>
        </is>
      </c>
      <c r="B27" s="18">
        <f>IF($B$5="","",WORKDAY($B$5,4))</f>
        <v/>
      </c>
      <c r="C27" s="12" t="inlineStr">
        <is>
          <t>Friday knowledge check (Kahoot), runs weekly</t>
        </is>
      </c>
      <c r="D27" t="inlineStr">
        <is>
          <t>Practice</t>
        </is>
      </c>
      <c r="E27" s="12" t="inlineStr">
        <is>
          <t>Enablement + pod leads</t>
        </is>
      </c>
      <c r="F27" t="b">
        <v>0</v>
      </c>
    </row>
    <row r="28">
      <c r="A28" t="inlineStr">
        <is>
          <t>Week 2 · Mon</t>
        </is>
      </c>
      <c r="B28" s="18">
        <f>IF($B$5="","",WORKDAY($B$5,5))</f>
        <v/>
      </c>
      <c r="C28" s="12" t="inlineStr">
        <is>
          <t>Payments Academy: Foundations 1–3</t>
        </is>
      </c>
      <c r="D28" t="inlineStr">
        <is>
          <t>Self-paced</t>
        </is>
      </c>
      <c r="E28" s="12" t="inlineStr">
        <is>
          <t>Self-directed</t>
        </is>
      </c>
      <c r="F28" t="b">
        <v>0</v>
      </c>
    </row>
    <row r="29">
      <c r="A29" t="inlineStr">
        <is>
          <t>Week 2 · Mon</t>
        </is>
      </c>
      <c r="B29" s="18">
        <f>IF($B$5="","",WORKDAY($B$5,5))</f>
        <v/>
      </c>
      <c r="C29" s="12" t="inlineStr">
        <is>
          <t>Competitive Landscape (global + NORAM)</t>
        </is>
      </c>
      <c r="D29" t="inlineStr">
        <is>
          <t>Live</t>
        </is>
      </c>
      <c r="E29" s="12" t="inlineStr">
        <is>
          <t>Michel Tornabene</t>
        </is>
      </c>
      <c r="F29" t="b">
        <v>0</v>
      </c>
    </row>
    <row r="30">
      <c r="A30" t="inlineStr">
        <is>
          <t>Week 2 · Tue</t>
        </is>
      </c>
      <c r="B30" s="18">
        <f>IF($B$5="","",WORKDAY($B$5,6))</f>
        <v/>
      </c>
      <c r="C30" s="12" t="inlineStr">
        <is>
          <t>Intro to Top of Funnel Onboarding</t>
        </is>
      </c>
      <c r="D30" t="inlineStr">
        <is>
          <t>Live</t>
        </is>
      </c>
      <c r="E30" s="12" t="inlineStr">
        <is>
          <t>J.J. Henry</t>
        </is>
      </c>
      <c r="F30" t="b">
        <v>0</v>
      </c>
    </row>
    <row r="31">
      <c r="A31" t="inlineStr">
        <is>
          <t>Week 2 · Tue</t>
        </is>
      </c>
      <c r="B31" s="18">
        <f>IF($B$5="","",WORKDAY($B$5,6))</f>
        <v/>
      </c>
      <c r="C31" s="12" t="inlineStr">
        <is>
          <t>International Outlook: acquiring set-ups &amp; cross-border</t>
        </is>
      </c>
      <c r="D31" t="inlineStr">
        <is>
          <t>Live</t>
        </is>
      </c>
      <c r="E31" s="12" t="inlineStr">
        <is>
          <t>Enablement</t>
        </is>
      </c>
      <c r="F31" t="b">
        <v>0</v>
      </c>
    </row>
    <row r="32">
      <c r="A32" t="inlineStr">
        <is>
          <t>Week 2 · Wed</t>
        </is>
      </c>
      <c r="B32" s="18">
        <f>IF($B$5="","",WORKDAY($B$5,7))</f>
        <v/>
      </c>
      <c r="C32" s="12" t="inlineStr">
        <is>
          <t>Payments Academy: Foundations 4–6</t>
        </is>
      </c>
      <c r="D32" t="inlineStr">
        <is>
          <t>Self-paced</t>
        </is>
      </c>
      <c r="E32" s="12" t="inlineStr">
        <is>
          <t>Self-directed</t>
        </is>
      </c>
      <c r="F32" t="b">
        <v>0</v>
      </c>
    </row>
    <row r="33">
      <c r="A33" t="inlineStr">
        <is>
          <t>Week 2 · Wed</t>
        </is>
      </c>
      <c r="B33" s="18">
        <f>IF($B$5="","",WORKDAY($B$5,7))</f>
        <v/>
      </c>
      <c r="C33" s="12" t="inlineStr">
        <is>
          <t>Buyer personas in payments</t>
        </is>
      </c>
      <c r="D33" t="inlineStr">
        <is>
          <t>Live</t>
        </is>
      </c>
      <c r="E33" s="12" t="inlineStr">
        <is>
          <t>J.J. Henry</t>
        </is>
      </c>
      <c r="F33" t="b">
        <v>0</v>
      </c>
    </row>
    <row r="34">
      <c r="A34" t="inlineStr">
        <is>
          <t>Week 2 · Wed</t>
        </is>
      </c>
      <c r="B34" s="18">
        <f>IF($B$5="","",WORKDAY($B$5,7))</f>
        <v/>
      </c>
      <c r="C34" s="12" t="inlineStr">
        <is>
          <t>RevWay 2–3: DEPTH Selling &amp; Managing Pipeline</t>
        </is>
      </c>
      <c r="D34" t="inlineStr">
        <is>
          <t>Self-paced</t>
        </is>
      </c>
      <c r="E34" s="12" t="inlineStr">
        <is>
          <t>Self-directed</t>
        </is>
      </c>
      <c r="F34" t="b">
        <v>0</v>
      </c>
    </row>
    <row r="35">
      <c r="A35" t="inlineStr">
        <is>
          <t>Week 2 · Thu</t>
        </is>
      </c>
      <c r="B35" s="18">
        <f>IF($B$5="","",WORKDAY($B$5,8))</f>
        <v/>
      </c>
      <c r="C35" s="12" t="inlineStr">
        <is>
          <t>Territory planning (STP), Rules of Engagement &amp; Incentive Ratings</t>
        </is>
      </c>
      <c r="D35" t="inlineStr">
        <is>
          <t>Live</t>
        </is>
      </c>
      <c r="E35" s="12" t="inlineStr">
        <is>
          <t>Francesco Falcone</t>
        </is>
      </c>
      <c r="F35" t="b">
        <v>0</v>
      </c>
    </row>
    <row r="36">
      <c r="A36" t="inlineStr">
        <is>
          <t>Week 2 · Thu</t>
        </is>
      </c>
      <c r="B36" s="18">
        <f>IF($B$5="","",WORKDAY($B$5,8))</f>
        <v/>
      </c>
      <c r="C36" s="12" t="inlineStr">
        <is>
          <t>Commercial Risk</t>
        </is>
      </c>
      <c r="D36" t="inlineStr">
        <is>
          <t>Live</t>
        </is>
      </c>
      <c r="E36" s="12" t="inlineStr">
        <is>
          <t>Enablement</t>
        </is>
      </c>
      <c r="F36" t="b">
        <v>0</v>
      </c>
    </row>
    <row r="37">
      <c r="A37" t="inlineStr">
        <is>
          <t>Week 2 · Fri</t>
        </is>
      </c>
      <c r="B37" s="18">
        <f>IF($B$5="","",WORKDAY($B$5,9))</f>
        <v/>
      </c>
      <c r="C37" s="12" t="inlineStr">
        <is>
          <t>Payments Academy: Foundations 7–10 + live debrief</t>
        </is>
      </c>
      <c r="D37" t="inlineStr">
        <is>
          <t>Self-paced</t>
        </is>
      </c>
      <c r="E37" s="12" t="inlineStr">
        <is>
          <t>Enablement</t>
        </is>
      </c>
      <c r="F37" t="b">
        <v>0</v>
      </c>
    </row>
    <row r="38">
      <c r="A38" t="inlineStr">
        <is>
          <t>Week 3 · Mon</t>
        </is>
      </c>
      <c r="B38" s="18">
        <f>IF($B$5="","",WORKDAY($B$5,10))</f>
        <v/>
      </c>
      <c r="C38" s="12" t="inlineStr">
        <is>
          <t>Product Foundations: Connect &amp; Move</t>
        </is>
      </c>
      <c r="D38" t="inlineStr">
        <is>
          <t>Self-paced</t>
        </is>
      </c>
      <c r="E38" s="12" t="inlineStr">
        <is>
          <t>Self-directed</t>
        </is>
      </c>
      <c r="F38" t="b">
        <v>0</v>
      </c>
    </row>
    <row r="39">
      <c r="A39" t="inlineStr">
        <is>
          <t>Week 3 · Mon</t>
        </is>
      </c>
      <c r="B39" s="18">
        <f>IF($B$5="","",WORKDAY($B$5,10))</f>
        <v/>
      </c>
      <c r="C39" s="12" t="inlineStr">
        <is>
          <t>Pillars in live deals: Connect &amp; Move</t>
        </is>
      </c>
      <c r="D39" t="inlineStr">
        <is>
          <t>Live</t>
        </is>
      </c>
      <c r="E39" s="12" t="inlineStr">
        <is>
          <t>Pod leads</t>
        </is>
      </c>
      <c r="F39" t="b">
        <v>0</v>
      </c>
    </row>
    <row r="40">
      <c r="A40" t="inlineStr">
        <is>
          <t>Week 3 · Tue</t>
        </is>
      </c>
      <c r="B40" s="18">
        <f>IF($B$5="","",WORKDAY($B$5,11))</f>
        <v/>
      </c>
      <c r="C40" s="12" t="inlineStr">
        <is>
          <t>Salesforce, Clari &amp; pipeline hygiene</t>
        </is>
      </c>
      <c r="D40" t="inlineStr">
        <is>
          <t>Live</t>
        </is>
      </c>
      <c r="E40" s="12" t="inlineStr">
        <is>
          <t>Enablement</t>
        </is>
      </c>
      <c r="F40" t="b">
        <v>0</v>
      </c>
    </row>
    <row r="41">
      <c r="A41" t="inlineStr">
        <is>
          <t>Week 3 · Tue</t>
        </is>
      </c>
      <c r="B41" s="18">
        <f>IF($B$5="","",WORKDAY($B$5,11))</f>
        <v/>
      </c>
      <c r="C41" s="12" t="inlineStr">
        <is>
          <t>Intro to Deal Management</t>
        </is>
      </c>
      <c r="D41" t="inlineStr">
        <is>
          <t>Live</t>
        </is>
      </c>
      <c r="E41" s="12" t="inlineStr">
        <is>
          <t>Faith Bergman</t>
        </is>
      </c>
      <c r="F41" t="b">
        <v>0</v>
      </c>
    </row>
    <row r="42">
      <c r="A42" t="inlineStr">
        <is>
          <t>Week 3 · Wed</t>
        </is>
      </c>
      <c r="B42" s="18">
        <f>IF($B$5="","",WORKDAY($B$5,12))</f>
        <v/>
      </c>
      <c r="C42" s="12" t="inlineStr">
        <is>
          <t>Product Foundations: Protect, Boost &amp; Manage</t>
        </is>
      </c>
      <c r="D42" t="inlineStr">
        <is>
          <t>Self-paced</t>
        </is>
      </c>
      <c r="E42" s="12" t="inlineStr">
        <is>
          <t>Self-directed</t>
        </is>
      </c>
      <c r="F42" t="b">
        <v>0</v>
      </c>
    </row>
    <row r="43">
      <c r="A43" t="inlineStr">
        <is>
          <t>Week 3 · Thu</t>
        </is>
      </c>
      <c r="B43" s="18">
        <f>IF($B$5="","",WORKDAY($B$5,13))</f>
        <v/>
      </c>
      <c r="C43" s="12" t="inlineStr">
        <is>
          <t>Pillars in live deals: Protect, Boost &amp; Manage</t>
        </is>
      </c>
      <c r="D43" t="inlineStr">
        <is>
          <t>Live</t>
        </is>
      </c>
      <c r="E43" s="12" t="inlineStr">
        <is>
          <t>Pod leads</t>
        </is>
      </c>
      <c r="F43" t="b">
        <v>0</v>
      </c>
    </row>
    <row r="44">
      <c r="A44" t="inlineStr">
        <is>
          <t>Week 3 · Thu</t>
        </is>
      </c>
      <c r="B44" s="18">
        <f>IF($B$5="","",WORKDAY($B$5,13))</f>
        <v/>
      </c>
      <c r="C44" s="12" t="inlineStr">
        <is>
          <t>Intro to Issuing (NORAM)</t>
        </is>
      </c>
      <c r="D44" t="inlineStr">
        <is>
          <t>Live</t>
        </is>
      </c>
      <c r="E44" s="12" t="inlineStr">
        <is>
          <t>TBD with team lead</t>
        </is>
      </c>
      <c r="F44" t="b">
        <v>0</v>
      </c>
    </row>
    <row r="45">
      <c r="A45" t="inlineStr">
        <is>
          <t>Week 3 · Fri</t>
        </is>
      </c>
      <c r="B45" s="18">
        <f>IF($B$5="","",WORKDAY($B$5,14))</f>
        <v/>
      </c>
      <c r="C45" s="12" t="inlineStr">
        <is>
          <t>Payment Performance AMA (Boost)</t>
        </is>
      </c>
      <c r="D45" t="inlineStr">
        <is>
          <t>Live</t>
        </is>
      </c>
      <c r="E45" s="12" t="inlineStr">
        <is>
          <t>Daniel Linder</t>
        </is>
      </c>
      <c r="F45" t="b">
        <v>0</v>
      </c>
    </row>
    <row r="46">
      <c r="A46" t="inlineStr">
        <is>
          <t>Week 4 · Mon</t>
        </is>
      </c>
      <c r="B46" s="18">
        <f>IF($B$5="","",WORKDAY($B$5,15))</f>
        <v/>
      </c>
      <c r="C46" s="12" t="inlineStr">
        <is>
          <t>RevWay 4–5: Discovery &amp; Explore phases</t>
        </is>
      </c>
      <c r="D46" t="inlineStr">
        <is>
          <t>Self-paced</t>
        </is>
      </c>
      <c r="E46" s="12" t="inlineStr">
        <is>
          <t>Self-directed</t>
        </is>
      </c>
      <c r="F46" t="b">
        <v>0</v>
      </c>
    </row>
    <row r="47">
      <c r="A47" t="inlineStr">
        <is>
          <t>Week 4 · Mon</t>
        </is>
      </c>
      <c r="B47" s="18">
        <f>IF($B$5="","",WORKDAY($B$5,15))</f>
        <v/>
      </c>
      <c r="C47" s="12" t="inlineStr">
        <is>
          <t>Discover (SAT style) (NORAM)</t>
        </is>
      </c>
      <c r="D47" t="inlineStr">
        <is>
          <t>Live</t>
        </is>
      </c>
      <c r="E47" s="12" t="inlineStr">
        <is>
          <t>TBD with team lead</t>
        </is>
      </c>
      <c r="F47" t="b">
        <v>0</v>
      </c>
    </row>
    <row r="48">
      <c r="A48" t="inlineStr">
        <is>
          <t>Week 4 · Tue</t>
        </is>
      </c>
      <c r="B48" s="18">
        <f>IF($B$5="","",WORKDAY($B$5,16))</f>
        <v/>
      </c>
      <c r="C48" s="12" t="inlineStr">
        <is>
          <t>Explore Call Masterclass</t>
        </is>
      </c>
      <c r="D48" t="inlineStr">
        <is>
          <t>Live</t>
        </is>
      </c>
      <c r="E48" s="12" t="inlineStr">
        <is>
          <t>Enablement + top AE</t>
        </is>
      </c>
      <c r="F48" t="b">
        <v>0</v>
      </c>
    </row>
    <row r="49">
      <c r="A49" t="inlineStr">
        <is>
          <t>Week 4 · Tue</t>
        </is>
      </c>
      <c r="B49" s="18">
        <f>IF($B$5="","",WORKDAY($B$5,16))</f>
        <v/>
      </c>
      <c r="C49" s="12" t="inlineStr">
        <is>
          <t>AI in Commercial</t>
        </is>
      </c>
      <c r="D49" t="inlineStr">
        <is>
          <t>Live</t>
        </is>
      </c>
      <c r="E49" s="12" t="inlineStr">
        <is>
          <t>Molly McKenna</t>
        </is>
      </c>
      <c r="F49" t="b">
        <v>0</v>
      </c>
    </row>
    <row r="50">
      <c r="A50" t="inlineStr">
        <is>
          <t>Week 4 · Wed</t>
        </is>
      </c>
      <c r="B50" s="18">
        <f>IF($B$5="","",WORKDAY($B$5,17))</f>
        <v/>
      </c>
      <c r="C50" s="12" t="inlineStr">
        <is>
          <t>Payments discovery question bank &amp; value hypothesis</t>
        </is>
      </c>
      <c r="D50" t="inlineStr">
        <is>
          <t>Live</t>
        </is>
      </c>
      <c r="E50" s="12" t="inlineStr">
        <is>
          <t>Enablement + Solutions Engineering</t>
        </is>
      </c>
      <c r="F50" t="b">
        <v>0</v>
      </c>
    </row>
    <row r="51">
      <c r="A51" t="inlineStr">
        <is>
          <t>Week 4 · Wed</t>
        </is>
      </c>
      <c r="B51" s="18">
        <f>IF($B$5="","",WORKDAY($B$5,17))</f>
        <v/>
      </c>
      <c r="C51" s="12" t="inlineStr">
        <is>
          <t>Intro to Commercial &amp; Merchant Insights (NORAM)</t>
        </is>
      </c>
      <c r="D51" t="inlineStr">
        <is>
          <t>Live</t>
        </is>
      </c>
      <c r="E51" s="12" t="inlineStr">
        <is>
          <t>TBD with team lead</t>
        </is>
      </c>
      <c r="F51" t="b">
        <v>0</v>
      </c>
    </row>
    <row r="52">
      <c r="A52" t="inlineStr">
        <is>
          <t>Week 4 · Thu</t>
        </is>
      </c>
      <c r="B52" s="18">
        <f>IF($B$5="","",WORKDAY($B$5,18))</f>
        <v/>
      </c>
      <c r="C52" s="12" t="inlineStr">
        <is>
          <t>Pause and Play: Explore call gametapes</t>
        </is>
      </c>
      <c r="D52" t="inlineStr">
        <is>
          <t>Practice</t>
        </is>
      </c>
      <c r="E52" s="12" t="inlineStr">
        <is>
          <t>Enablement</t>
        </is>
      </c>
      <c r="F52" t="b">
        <v>0</v>
      </c>
    </row>
    <row r="53">
      <c r="A53" t="inlineStr">
        <is>
          <t>Week 4 · Fri</t>
        </is>
      </c>
      <c r="B53" s="18">
        <f>IF($B$5="","",WORKDAY($B$5,19))</f>
        <v/>
      </c>
      <c r="C53" s="12" t="inlineStr">
        <is>
          <t>Explore role-play sprint</t>
        </is>
      </c>
      <c r="D53" t="inlineStr">
        <is>
          <t>Practice</t>
        </is>
      </c>
      <c r="E53" s="12" t="inlineStr">
        <is>
          <t>Pod leads + buddy</t>
        </is>
      </c>
      <c r="F53" t="b">
        <v>0</v>
      </c>
    </row>
    <row r="54">
      <c r="A54" t="inlineStr">
        <is>
          <t>Week 5 · Mon</t>
        </is>
      </c>
      <c r="B54" s="18">
        <f>IF($B$5="","",WORKDAY($B$5,20))</f>
        <v/>
      </c>
      <c r="C54" s="12" t="inlineStr">
        <is>
          <t>Elevator pitch + five-pillar knowledge check</t>
        </is>
      </c>
      <c r="D54" t="inlineStr">
        <is>
          <t>Practice</t>
        </is>
      </c>
      <c r="E54" s="12" t="inlineStr">
        <is>
          <t>Line manager + Enablement</t>
        </is>
      </c>
      <c r="F54" t="b">
        <v>0</v>
      </c>
    </row>
    <row r="55">
      <c r="A55" t="inlineStr">
        <is>
          <t>Week 5 · Mon</t>
        </is>
      </c>
      <c r="B55" s="18">
        <f>IF($B$5="","",WORKDAY($B$5,20))</f>
        <v/>
      </c>
      <c r="C55" s="12" t="inlineStr">
        <is>
          <t>Account list review: your Top 70</t>
        </is>
      </c>
      <c r="D55" t="inlineStr">
        <is>
          <t>Practice</t>
        </is>
      </c>
      <c r="E55" s="12" t="inlineStr">
        <is>
          <t>Line manager</t>
        </is>
      </c>
      <c r="F55" t="b">
        <v>0</v>
      </c>
    </row>
    <row r="56">
      <c r="A56" t="inlineStr">
        <is>
          <t>Week 5 · Tue</t>
        </is>
      </c>
      <c r="B56" s="18">
        <f>IF($B$5="","",WORKDAY($B$5,21))</f>
        <v/>
      </c>
      <c r="C56" s="12" t="inlineStr">
        <is>
          <t>Outreach lab: openers, email personalisation &amp; gatekeepers</t>
        </is>
      </c>
      <c r="D56" t="inlineStr">
        <is>
          <t>Live</t>
        </is>
      </c>
      <c r="E56" s="12" t="inlineStr">
        <is>
          <t>Jasmine Jancsik</t>
        </is>
      </c>
      <c r="F56" t="b">
        <v>0</v>
      </c>
    </row>
    <row r="57">
      <c r="A57" t="inlineStr">
        <is>
          <t>Week 5 · Wed</t>
        </is>
      </c>
      <c r="B57" s="18">
        <f>IF($B$5="","",WORKDAY($B$5,22))</f>
        <v/>
      </c>
      <c r="C57" s="12" t="inlineStr">
        <is>
          <t>Cold-call role play</t>
        </is>
      </c>
      <c r="D57" t="inlineStr">
        <is>
          <t>Practice</t>
        </is>
      </c>
      <c r="E57" s="12" t="inlineStr">
        <is>
          <t>Jasmine Jancsik</t>
        </is>
      </c>
      <c r="F57" t="b">
        <v>0</v>
      </c>
    </row>
    <row r="58">
      <c r="A58" t="inlineStr">
        <is>
          <t>Week 5 · Thu</t>
        </is>
      </c>
      <c r="B58" s="18">
        <f>IF($B$5="","",WORKDAY($B$5,23))</f>
        <v/>
      </c>
      <c r="C58" s="12" t="inlineStr">
        <is>
          <t>Storyline workshop: the first-meeting pitch deck</t>
        </is>
      </c>
      <c r="D58" t="inlineStr">
        <is>
          <t>Live</t>
        </is>
      </c>
      <c r="E58" s="12" t="inlineStr">
        <is>
          <t>Enablement + Product Marketing</t>
        </is>
      </c>
      <c r="F58" t="b">
        <v>0</v>
      </c>
    </row>
    <row r="59">
      <c r="A59" t="inlineStr">
        <is>
          <t>Week 5 · Fri</t>
        </is>
      </c>
      <c r="B59" s="18">
        <f>IF($B$5="","",WORKDAY($B$5,24))</f>
        <v/>
      </c>
      <c r="C59" s="12" t="inlineStr">
        <is>
          <t>★ Explore Call Certification (Day 25)</t>
        </is>
      </c>
      <c r="D59" t="inlineStr">
        <is>
          <t>Certification</t>
        </is>
      </c>
      <c r="E59" s="12" t="inlineStr">
        <is>
          <t>Pod leads + Enablement</t>
        </is>
      </c>
      <c r="F59" t="b">
        <v>0</v>
      </c>
    </row>
    <row r="60">
      <c r="A60" t="inlineStr">
        <is>
          <t>Week 6 · Mon</t>
        </is>
      </c>
      <c r="B60" s="18">
        <f>IF($B$5="","",WORKDAY($B$5,25))</f>
        <v/>
      </c>
      <c r="C60" s="12" t="inlineStr">
        <is>
          <t>RAC Plans: NORAM</t>
        </is>
      </c>
      <c r="D60" t="inlineStr">
        <is>
          <t>Live</t>
        </is>
      </c>
      <c r="E60" s="12" t="inlineStr">
        <is>
          <t>Michel Tornabene</t>
        </is>
      </c>
      <c r="F60" t="b">
        <v>0</v>
      </c>
    </row>
    <row r="61">
      <c r="A61" t="inlineStr">
        <is>
          <t>Week 6 · Mon</t>
        </is>
      </c>
      <c r="B61" s="18">
        <f>IF($B$5="","",WORKDAY($B$5,25))</f>
        <v/>
      </c>
      <c r="C61" s="12" t="inlineStr">
        <is>
          <t>Regional BPs &amp; Commercial Strategy (NORAM)</t>
        </is>
      </c>
      <c r="D61" t="inlineStr">
        <is>
          <t>Live</t>
        </is>
      </c>
      <c r="E61" s="12" t="inlineStr">
        <is>
          <t>Eliza Chew</t>
        </is>
      </c>
      <c r="F61" t="b">
        <v>0</v>
      </c>
    </row>
    <row r="62">
      <c r="A62" t="inlineStr">
        <is>
          <t>Week 6 · Tue</t>
        </is>
      </c>
      <c r="B62" s="18">
        <f>IF($B$5="","",WORKDAY($B$5,26))</f>
        <v/>
      </c>
      <c r="C62" s="12" t="inlineStr">
        <is>
          <t>Commercial OKRs</t>
        </is>
      </c>
      <c r="D62" t="inlineStr">
        <is>
          <t>Live</t>
        </is>
      </c>
      <c r="E62" s="12" t="inlineStr">
        <is>
          <t>Nicole Molina</t>
        </is>
      </c>
      <c r="F62" t="b">
        <v>0</v>
      </c>
    </row>
    <row r="63">
      <c r="A63" t="inlineStr">
        <is>
          <t>Week 6 · Tue</t>
        </is>
      </c>
      <c r="B63" s="18">
        <f>IF($B$5="","",WORKDAY($B$5,26))</f>
        <v/>
      </c>
      <c r="C63" s="12" t="inlineStr">
        <is>
          <t>Intro to Commercial Product Partnership</t>
        </is>
      </c>
      <c r="D63" t="inlineStr">
        <is>
          <t>Live</t>
        </is>
      </c>
      <c r="E63" s="12" t="inlineStr">
        <is>
          <t>Nicolas Maalouf</t>
        </is>
      </c>
      <c r="F63" t="b">
        <v>0</v>
      </c>
    </row>
    <row r="64">
      <c r="A64" t="inlineStr">
        <is>
          <t>Week 6 · Wed</t>
        </is>
      </c>
      <c r="B64" s="18">
        <f>IF($B$5="","",WORKDAY($B$5,27))</f>
        <v/>
      </c>
      <c r="C64" s="12" t="inlineStr">
        <is>
          <t>Deck dry run with buddy &amp; pod</t>
        </is>
      </c>
      <c r="D64" t="inlineStr">
        <is>
          <t>Practice</t>
        </is>
      </c>
      <c r="E64" s="12" t="inlineStr">
        <is>
          <t>Buddy + pod</t>
        </is>
      </c>
      <c r="F64" t="b">
        <v>0</v>
      </c>
    </row>
    <row r="65">
      <c r="A65" t="inlineStr">
        <is>
          <t>Week 6 · Fri</t>
        </is>
      </c>
      <c r="B65" s="18">
        <f>IF($B$5="","",WORKDAY($B$5,29))</f>
        <v/>
      </c>
      <c r="C65" s="12" t="inlineStr">
        <is>
          <t>★ Pitch Deck Certification (Day 30)</t>
        </is>
      </c>
      <c r="D65" t="inlineStr">
        <is>
          <t>Certification</t>
        </is>
      </c>
      <c r="E65" s="12" t="inlineStr">
        <is>
          <t>Pod leads + Enablement</t>
        </is>
      </c>
      <c r="F65" t="b">
        <v>0</v>
      </c>
    </row>
    <row r="66">
      <c r="A66" t="inlineStr">
        <is>
          <t>Week 6 · Fri</t>
        </is>
      </c>
      <c r="B66" s="18">
        <f>IF($B$5="","",WORKDAY($B$5,29))</f>
        <v/>
      </c>
      <c r="C66" s="12" t="inlineStr">
        <is>
          <t>Day 30 review</t>
        </is>
      </c>
      <c r="D66" t="inlineStr">
        <is>
          <t>Practice</t>
        </is>
      </c>
      <c r="E66" s="12" t="inlineStr">
        <is>
          <t>Line manager</t>
        </is>
      </c>
      <c r="F66" t="b">
        <v>0</v>
      </c>
    </row>
    <row r="67">
      <c r="A67" t="inlineStr">
        <is>
          <t>Week 7 · Mon</t>
        </is>
      </c>
      <c r="B67" s="18">
        <f>IF($B$5="","",WORKDAY($B$5,30))</f>
        <v/>
      </c>
      <c r="C67" s="12" t="inlineStr">
        <is>
          <t>Certification retakes + supplemental materials (as needed)</t>
        </is>
      </c>
      <c r="D67" t="inlineStr">
        <is>
          <t>Practice</t>
        </is>
      </c>
      <c r="E67" s="12" t="inlineStr">
        <is>
          <t>Enablement</t>
        </is>
      </c>
      <c r="F67" t="b">
        <v>0</v>
      </c>
    </row>
    <row r="68">
      <c r="A68" t="inlineStr">
        <is>
          <t>Week 7 · Mon</t>
        </is>
      </c>
      <c r="B68" s="18">
        <f>IF($B$5="","",WORKDAY($B$5,30))</f>
        <v/>
      </c>
      <c r="C68" s="12" t="inlineStr">
        <is>
          <t>Intro to NORAM verticals &amp; where we win</t>
        </is>
      </c>
      <c r="D68" t="inlineStr">
        <is>
          <t>Live</t>
        </is>
      </c>
      <c r="E68" s="12" t="inlineStr">
        <is>
          <t>Enablement</t>
        </is>
      </c>
      <c r="F68" t="b">
        <v>0</v>
      </c>
    </row>
    <row r="69">
      <c r="A69" t="inlineStr">
        <is>
          <t>Week 7 · Tue</t>
        </is>
      </c>
      <c r="B69" s="18">
        <f>IF($B$5="","",WORKDAY($B$5,31))</f>
        <v/>
      </c>
      <c r="C69" s="12" t="inlineStr">
        <is>
          <t>Vertical deep dives: Digital Content and Ecommerce</t>
        </is>
      </c>
      <c r="D69" t="inlineStr">
        <is>
          <t>Live</t>
        </is>
      </c>
      <c r="E69" s="12" t="inlineStr">
        <is>
          <t>Jules Gay / Katie Wile</t>
        </is>
      </c>
      <c r="F69" t="b">
        <v>0</v>
      </c>
    </row>
    <row r="70">
      <c r="A70" t="inlineStr">
        <is>
          <t>Week 7 · Thu</t>
        </is>
      </c>
      <c r="B70" s="18">
        <f>IF($B$5="","",WORKDAY($B$5,33))</f>
        <v/>
      </c>
      <c r="C70" s="12" t="inlineStr">
        <is>
          <t>Vertical deep dives: Neobank &amp; Remittance, Consumer Lending &amp; Proptech</t>
        </is>
      </c>
      <c r="D70" t="inlineStr">
        <is>
          <t>Live</t>
        </is>
      </c>
      <c r="E70" s="12" t="inlineStr">
        <is>
          <t>Olivia Smith / Octavio Balcazar</t>
        </is>
      </c>
      <c r="F70" t="b">
        <v>0</v>
      </c>
    </row>
    <row r="71">
      <c r="A71" t="inlineStr">
        <is>
          <t>Week 7 · Fri</t>
        </is>
      </c>
      <c r="B71" s="18">
        <f>IF($B$5="","",WORKDAY($B$5,34))</f>
        <v/>
      </c>
      <c r="C71" s="12" t="inlineStr">
        <is>
          <t>Build your prospecting cadence (Apollo)</t>
        </is>
      </c>
      <c r="D71" t="inlineStr">
        <is>
          <t>Practice</t>
        </is>
      </c>
      <c r="E71" s="12" t="inlineStr">
        <is>
          <t>Ronak Bali</t>
        </is>
      </c>
      <c r="F71" t="b">
        <v>0</v>
      </c>
    </row>
    <row r="72">
      <c r="A72" t="inlineStr">
        <is>
          <t>Week 8 · Mon</t>
        </is>
      </c>
      <c r="B72" s="18">
        <f>IF($B$5="","",WORKDAY($B$5,35))</f>
        <v/>
      </c>
      <c r="C72" s="12" t="inlineStr">
        <is>
          <t>Underwriting Overview NORAM</t>
        </is>
      </c>
      <c r="D72" t="inlineStr">
        <is>
          <t>Live</t>
        </is>
      </c>
      <c r="E72" s="12" t="inlineStr">
        <is>
          <t>Jack Pontarelli</t>
        </is>
      </c>
      <c r="F72" t="b">
        <v>0</v>
      </c>
    </row>
    <row r="73">
      <c r="A73" t="inlineStr">
        <is>
          <t>Week 8 · Tue</t>
        </is>
      </c>
      <c r="B73" s="18">
        <f>IF($B$5="","",WORKDAY($B$5,36))</f>
        <v/>
      </c>
      <c r="C73" s="12" t="inlineStr">
        <is>
          <t>Intro to Pricing (NORAM)</t>
        </is>
      </c>
      <c r="D73" t="inlineStr">
        <is>
          <t>Live</t>
        </is>
      </c>
      <c r="E73" s="12" t="inlineStr">
        <is>
          <t>TBD with team lead</t>
        </is>
      </c>
      <c r="F73" t="b">
        <v>0</v>
      </c>
    </row>
    <row r="74">
      <c r="A74" t="inlineStr">
        <is>
          <t>Week 8 · Wed</t>
        </is>
      </c>
      <c r="B74" s="18">
        <f>IF($B$5="","",WORKDAY($B$5,37))</f>
        <v/>
      </c>
      <c r="C74" s="12" t="inlineStr">
        <is>
          <t>Partner ecosystem: who we sell with and how</t>
        </is>
      </c>
      <c r="D74" t="inlineStr">
        <is>
          <t>Live</t>
        </is>
      </c>
      <c r="E74" s="12" t="inlineStr">
        <is>
          <t>Jim Cho / Francesco Falcone / Jaime Yeager</t>
        </is>
      </c>
      <c r="F74" t="b">
        <v>0</v>
      </c>
    </row>
    <row r="75">
      <c r="A75" t="inlineStr">
        <is>
          <t>Week 8 · Wed</t>
        </is>
      </c>
      <c r="B75" s="18">
        <f>IF($B$5="","",WORKDAY($B$5,37))</f>
        <v/>
      </c>
      <c r="C75" s="12" t="inlineStr">
        <is>
          <t>ISV, Marketplace &amp; MoR deep dive</t>
        </is>
      </c>
      <c r="D75" t="inlineStr">
        <is>
          <t>Live</t>
        </is>
      </c>
      <c r="E75" s="12" t="inlineStr">
        <is>
          <t>Michael Taylor</t>
        </is>
      </c>
      <c r="F75" t="b">
        <v>0</v>
      </c>
    </row>
    <row r="76">
      <c r="A76" t="inlineStr">
        <is>
          <t>Week 8 · Thu</t>
        </is>
      </c>
      <c r="B76" s="18">
        <f>IF($B$5="","",WORKDAY($B$5,38))</f>
        <v/>
      </c>
      <c r="C76" s="12" t="inlineStr">
        <is>
          <t>Payment performance metrics that matter</t>
        </is>
      </c>
      <c r="D76" t="inlineStr">
        <is>
          <t>Live</t>
        </is>
      </c>
      <c r="E76" s="12" t="inlineStr">
        <is>
          <t>Solutions Engineering + Product</t>
        </is>
      </c>
      <c r="F76" t="b">
        <v>0</v>
      </c>
    </row>
    <row r="77">
      <c r="A77" t="inlineStr">
        <is>
          <t>Week 9 · Mon</t>
        </is>
      </c>
      <c r="B77" s="18">
        <f>IF($B$5="","",WORKDAY($B$5,40))</f>
        <v/>
      </c>
      <c r="C77" s="12" t="inlineStr">
        <is>
          <t>Pay to Card, Pay to Bank &amp; FX</t>
        </is>
      </c>
      <c r="D77" t="inlineStr">
        <is>
          <t>Live</t>
        </is>
      </c>
      <c r="E77" s="12" t="inlineStr">
        <is>
          <t>Olivia Smith</t>
        </is>
      </c>
      <c r="F77" t="b">
        <v>0</v>
      </c>
    </row>
    <row r="78">
      <c r="A78" t="inlineStr">
        <is>
          <t>Week 9 · Tue</t>
        </is>
      </c>
      <c r="B78" s="18">
        <f>IF($B$5="","",WORKDAY($B$5,41))</f>
        <v/>
      </c>
      <c r="C78" s="12" t="inlineStr">
        <is>
          <t>Visa Direct: AFTs &amp; card payouts</t>
        </is>
      </c>
      <c r="D78" t="inlineStr">
        <is>
          <t>Live</t>
        </is>
      </c>
      <c r="E78" s="12" t="inlineStr">
        <is>
          <t>Sydney</t>
        </is>
      </c>
      <c r="F78" t="b">
        <v>0</v>
      </c>
    </row>
    <row r="79">
      <c r="A79" t="inlineStr">
        <is>
          <t>Week 9 · Wed</t>
        </is>
      </c>
      <c r="B79" s="18">
        <f>IF($B$5="","",WORKDAY($B$5,42))</f>
        <v/>
      </c>
      <c r="C79" s="12" t="inlineStr">
        <is>
          <t>Technical integration &amp; merchant onboarding experience</t>
        </is>
      </c>
      <c r="D79" t="inlineStr">
        <is>
          <t>Live</t>
        </is>
      </c>
      <c r="E79" s="12" t="inlineStr">
        <is>
          <t>Michael Taylor + Faith Bergman</t>
        </is>
      </c>
      <c r="F79" t="b">
        <v>0</v>
      </c>
    </row>
    <row r="80">
      <c r="A80" t="inlineStr">
        <is>
          <t>Week 9 · Thu</t>
        </is>
      </c>
      <c r="B80" s="18">
        <f>IF($B$5="","",WORKDAY($B$5,43))</f>
        <v/>
      </c>
      <c r="C80" s="12" t="inlineStr">
        <is>
          <t>RevWay 6–7: Questioning, funnel technique &amp; listening</t>
        </is>
      </c>
      <c r="D80" t="inlineStr">
        <is>
          <t>Self-paced</t>
        </is>
      </c>
      <c r="E80" s="12" t="inlineStr">
        <is>
          <t>Self-directed</t>
        </is>
      </c>
      <c r="F80" t="b">
        <v>0</v>
      </c>
    </row>
    <row r="81">
      <c r="A81" t="inlineStr">
        <is>
          <t>Week 9 · Fri</t>
        </is>
      </c>
      <c r="B81" s="18">
        <f>IF($B$5="","",WORKDAY($B$5,44))</f>
        <v/>
      </c>
      <c r="C81" s="12" t="inlineStr">
        <is>
          <t>Canada &amp; the Canadian market</t>
        </is>
      </c>
      <c r="D81" t="inlineStr">
        <is>
          <t>Live</t>
        </is>
      </c>
      <c r="E81" s="12" t="inlineStr">
        <is>
          <t>Yousef Almawy</t>
        </is>
      </c>
      <c r="F81" t="b">
        <v>0</v>
      </c>
    </row>
    <row r="82">
      <c r="A82" t="inlineStr">
        <is>
          <t>Week 10 · Tue</t>
        </is>
      </c>
      <c r="B82" s="18">
        <f>IF($B$5="","",WORKDAY($B$5,46))</f>
        <v/>
      </c>
      <c r="C82" s="12" t="inlineStr">
        <is>
          <t>Voice of the customer: Head of Payments panel</t>
        </is>
      </c>
      <c r="D82" t="inlineStr">
        <is>
          <t>Live</t>
        </is>
      </c>
      <c r="E82" s="12" t="inlineStr">
        <is>
          <t>Jaime Yeager / Jim Cho</t>
        </is>
      </c>
      <c r="F82" t="b">
        <v>0</v>
      </c>
    </row>
    <row r="83">
      <c r="A83" t="inlineStr">
        <is>
          <t>Week 10 · Wed</t>
        </is>
      </c>
      <c r="B83" s="18">
        <f>IF($B$5="","",WORKDAY($B$5,47))</f>
        <v/>
      </c>
      <c r="C83" s="12" t="inlineStr">
        <is>
          <t>Top-rep Q&amp;A, every two weeks</t>
        </is>
      </c>
      <c r="D83" t="inlineStr">
        <is>
          <t>Live</t>
        </is>
      </c>
      <c r="E83" s="12" t="inlineStr">
        <is>
          <t>Sam Boukhiam / Louis Taupin</t>
        </is>
      </c>
      <c r="F83" t="b">
        <v>0</v>
      </c>
    </row>
    <row r="84">
      <c r="A84" t="inlineStr">
        <is>
          <t>Week 10 · Thu</t>
        </is>
      </c>
      <c r="B84" s="18">
        <f>IF($B$5="","",WORKDAY($B$5,48))</f>
        <v/>
      </c>
      <c r="C84" s="12" t="inlineStr">
        <is>
          <t>Vertical deep dives: Insurance and Gaming &amp; Gambling</t>
        </is>
      </c>
      <c r="D84" t="inlineStr">
        <is>
          <t>Live</t>
        </is>
      </c>
      <c r="E84" s="12" t="inlineStr">
        <is>
          <t>Olivia Smith / Aaron Popack</t>
        </is>
      </c>
      <c r="F84" t="b">
        <v>0</v>
      </c>
    </row>
    <row r="85">
      <c r="A85" t="inlineStr">
        <is>
          <t>Week 10 · Fri</t>
        </is>
      </c>
      <c r="B85" s="18">
        <f>IF($B$5="","",WORKDAY($B$5,49))</f>
        <v/>
      </c>
      <c r="C85" s="12" t="inlineStr">
        <is>
          <t>Competitive deal clinic + refreshed battlecards</t>
        </is>
      </c>
      <c r="D85" t="inlineStr">
        <is>
          <t>Live</t>
        </is>
      </c>
      <c r="E85" s="12" t="inlineStr">
        <is>
          <t>Jim Cho</t>
        </is>
      </c>
      <c r="F85" t="b">
        <v>0</v>
      </c>
    </row>
    <row r="86">
      <c r="A86" t="inlineStr">
        <is>
          <t>Week 11 · Mon</t>
        </is>
      </c>
      <c r="B86" s="18">
        <f>IF($B$5="","",WORKDAY($B$5,50))</f>
        <v/>
      </c>
      <c r="C86" s="12" t="inlineStr">
        <is>
          <t>Regional Deal Management Best Practice: NORAM</t>
        </is>
      </c>
      <c r="D86" t="inlineStr">
        <is>
          <t>Live</t>
        </is>
      </c>
      <c r="E86" s="12" t="inlineStr">
        <is>
          <t>Faith Bergman</t>
        </is>
      </c>
      <c r="F86" t="b">
        <v>0</v>
      </c>
    </row>
    <row r="87">
      <c r="A87" t="inlineStr">
        <is>
          <t>Week 11 · Wed</t>
        </is>
      </c>
      <c r="B87" s="18">
        <f>IF($B$5="","",WORKDAY($B$5,52))</f>
        <v/>
      </c>
      <c r="C87" s="12" t="inlineStr">
        <is>
          <t>Role play with your pod lead</t>
        </is>
      </c>
      <c r="D87" t="inlineStr">
        <is>
          <t>Practice</t>
        </is>
      </c>
      <c r="E87" s="12" t="inlineStr">
        <is>
          <t>Pod leads</t>
        </is>
      </c>
      <c r="F87" t="b">
        <v>0</v>
      </c>
    </row>
    <row r="88">
      <c r="A88" t="inlineStr">
        <is>
          <t>Week 11 · Thu</t>
        </is>
      </c>
      <c r="B88" s="18">
        <f>IF($B$5="","",WORKDAY($B$5,53))</f>
        <v/>
      </c>
      <c r="C88" s="12" t="inlineStr">
        <is>
          <t>Working with Marketing &amp; the Strategic Accounts Team</t>
        </is>
      </c>
      <c r="D88" t="inlineStr">
        <is>
          <t>Live</t>
        </is>
      </c>
      <c r="E88" s="12" t="inlineStr">
        <is>
          <t>Marketing + Cyril Chemla</t>
        </is>
      </c>
      <c r="F88" t="b">
        <v>0</v>
      </c>
    </row>
    <row r="89">
      <c r="A89" t="inlineStr">
        <is>
          <t>Week 12 · Wed</t>
        </is>
      </c>
      <c r="B89" s="18">
        <f>IF($B$5="","",WORKDAY($B$5,57))</f>
        <v/>
      </c>
      <c r="C89" s="12" t="inlineStr">
        <is>
          <t>Follow the Flow · Authorise: Deal Desk</t>
        </is>
      </c>
      <c r="D89" t="inlineStr">
        <is>
          <t>Practice</t>
        </is>
      </c>
      <c r="E89" s="12" t="inlineStr">
        <is>
          <t>Faith Bergman</t>
        </is>
      </c>
      <c r="F89" t="b">
        <v>0</v>
      </c>
    </row>
    <row r="90">
      <c r="A90" t="inlineStr">
        <is>
          <t>Week 12 · Wed</t>
        </is>
      </c>
      <c r="B90" s="18">
        <f>IF($B$5="","",WORKDAY($B$5,57))</f>
        <v/>
      </c>
      <c r="C90" s="12" t="inlineStr">
        <is>
          <t>Follow the Flow · Risk check: Underwriting</t>
        </is>
      </c>
      <c r="D90" t="inlineStr">
        <is>
          <t>Practice</t>
        </is>
      </c>
      <c r="E90" s="12" t="inlineStr">
        <is>
          <t>Underwriting</t>
        </is>
      </c>
      <c r="F90" t="b">
        <v>0</v>
      </c>
    </row>
    <row r="91">
      <c r="A91" t="inlineStr">
        <is>
          <t>Week 12 · Wed</t>
        </is>
      </c>
      <c r="B91" s="18">
        <f>IF($B$5="","",WORKDAY($B$5,57))</f>
        <v/>
      </c>
      <c r="C91" s="12" t="inlineStr">
        <is>
          <t>Follow the Flow · Tokenise &amp; integrate: Solutions Engineering</t>
        </is>
      </c>
      <c r="D91" t="inlineStr">
        <is>
          <t>Practice</t>
        </is>
      </c>
      <c r="E91" s="12" t="inlineStr">
        <is>
          <t>TBD with team lead</t>
        </is>
      </c>
      <c r="F91" t="b">
        <v>0</v>
      </c>
    </row>
    <row r="92">
      <c r="A92" t="inlineStr">
        <is>
          <t>Week 12 · Wed</t>
        </is>
      </c>
      <c r="B92" s="18">
        <f>IF($B$5="","",WORKDAY($B$5,57))</f>
        <v/>
      </c>
      <c r="C92" s="12" t="inlineStr">
        <is>
          <t>Follow the Flow · Route: Partnerships + Financial Partnerships</t>
        </is>
      </c>
      <c r="D92" t="inlineStr">
        <is>
          <t>Practice</t>
        </is>
      </c>
      <c r="E92" s="12" t="inlineStr">
        <is>
          <t>TBD with team lead</t>
        </is>
      </c>
      <c r="F92" t="b">
        <v>0</v>
      </c>
    </row>
    <row r="93">
      <c r="A93" t="inlineStr">
        <is>
          <t>Week 12 · Wed</t>
        </is>
      </c>
      <c r="B93" s="18">
        <f>IF($B$5="","",WORKDAY($B$5,57))</f>
        <v/>
      </c>
      <c r="C93" s="12" t="inlineStr">
        <is>
          <t>Follow the Flow · Settle: Account Management</t>
        </is>
      </c>
      <c r="D93" t="inlineStr">
        <is>
          <t>Practice</t>
        </is>
      </c>
      <c r="E93" s="12" t="inlineStr">
        <is>
          <t>TBD with team lead</t>
        </is>
      </c>
      <c r="F93" t="b">
        <v>0</v>
      </c>
    </row>
    <row r="94">
      <c r="A94" t="inlineStr">
        <is>
          <t>Week 12 · Wed</t>
        </is>
      </c>
      <c r="B94" s="18">
        <f>IF($B$5="","",WORKDAY($B$5,57))</f>
        <v/>
      </c>
      <c r="C94" s="12" t="inlineStr">
        <is>
          <t>Follow the Flow · Reconcile: RevOps &amp; BDR</t>
        </is>
      </c>
      <c r="D94" t="inlineStr">
        <is>
          <t>Practice</t>
        </is>
      </c>
      <c r="E94" s="12" t="inlineStr">
        <is>
          <t>Sandra Suen</t>
        </is>
      </c>
      <c r="F94" t="b">
        <v>0</v>
      </c>
    </row>
    <row r="95">
      <c r="A95" t="inlineStr">
        <is>
          <t>Week 12 · Fri</t>
        </is>
      </c>
      <c r="B95" s="18">
        <f>IF($B$5="","",WORKDAY($B$5,59))</f>
        <v/>
      </c>
      <c r="C95" s="12" t="inlineStr">
        <is>
          <t>Day 60 review</t>
        </is>
      </c>
      <c r="D95" t="inlineStr">
        <is>
          <t>Practice</t>
        </is>
      </c>
      <c r="E95" s="12" t="inlineStr">
        <is>
          <t>Line manager</t>
        </is>
      </c>
      <c r="F95" t="b">
        <v>0</v>
      </c>
    </row>
    <row r="96">
      <c r="A96" t="inlineStr">
        <is>
          <t>Week 13 · Mon</t>
        </is>
      </c>
      <c r="B96" s="18">
        <f>IF($B$5="","",WORKDAY($B$5,60))</f>
        <v/>
      </c>
      <c r="C96" s="12" t="inlineStr">
        <is>
          <t>Propose Masterclass</t>
        </is>
      </c>
      <c r="D96" t="inlineStr">
        <is>
          <t>Live</t>
        </is>
      </c>
      <c r="E96" s="12" t="inlineStr">
        <is>
          <t>Enablement</t>
        </is>
      </c>
      <c r="F96" t="b">
        <v>0</v>
      </c>
    </row>
    <row r="97">
      <c r="A97" t="inlineStr">
        <is>
          <t>Week 13 · Tue</t>
        </is>
      </c>
      <c r="B97" s="18">
        <f>IF($B$5="","",WORKDAY($B$5,61))</f>
        <v/>
      </c>
      <c r="C97" s="12" t="inlineStr">
        <is>
          <t>Pricing guidance &amp; take rate</t>
        </is>
      </c>
      <c r="D97" t="inlineStr">
        <is>
          <t>Live</t>
        </is>
      </c>
      <c r="E97" s="12" t="inlineStr">
        <is>
          <t>Jim Cho + Francesco Falcone</t>
        </is>
      </c>
      <c r="F97" t="b">
        <v>0</v>
      </c>
    </row>
    <row r="98">
      <c r="A98" t="inlineStr">
        <is>
          <t>Week 13 · Thu</t>
        </is>
      </c>
      <c r="B98" s="18">
        <f>IF($B$5="","",WORKDAY($B$5,63))</f>
        <v/>
      </c>
      <c r="C98" s="12" t="inlineStr">
        <is>
          <t>RevWay 8–9: Propose &amp; Presentation Skills</t>
        </is>
      </c>
      <c r="D98" t="inlineStr">
        <is>
          <t>Self-paced</t>
        </is>
      </c>
      <c r="E98" s="12" t="inlineStr">
        <is>
          <t>Self-directed</t>
        </is>
      </c>
      <c r="F98" t="b">
        <v>0</v>
      </c>
    </row>
    <row r="99">
      <c r="A99" t="inlineStr">
        <is>
          <t>Week 14 · Mon</t>
        </is>
      </c>
      <c r="B99" s="18">
        <f>IF($B$5="","",WORKDAY($B$5,65))</f>
        <v/>
      </c>
      <c r="C99" s="12" t="inlineStr">
        <is>
          <t>Pricing calculator walk-through (real deal)</t>
        </is>
      </c>
      <c r="D99" t="inlineStr">
        <is>
          <t>Live</t>
        </is>
      </c>
      <c r="E99" s="12" t="inlineStr">
        <is>
          <t>Jim Cho</t>
        </is>
      </c>
      <c r="F99" t="b">
        <v>0</v>
      </c>
    </row>
    <row r="100">
      <c r="A100" t="inlineStr">
        <is>
          <t>Week 14 · Tue</t>
        </is>
      </c>
      <c r="B100" s="18">
        <f>IF($B$5="","",WORKDAY($B$5,66))</f>
        <v/>
      </c>
      <c r="C100" s="12" t="inlineStr">
        <is>
          <t>AFT/OCT pricing calculator walk-through</t>
        </is>
      </c>
      <c r="D100" t="inlineStr">
        <is>
          <t>Live</t>
        </is>
      </c>
      <c r="E100" s="12" t="inlineStr">
        <is>
          <t>Vladimir Sterenko</t>
        </is>
      </c>
      <c r="F100" t="b">
        <v>0</v>
      </c>
    </row>
    <row r="101">
      <c r="A101" t="inlineStr">
        <is>
          <t>Week 14 · Thu</t>
        </is>
      </c>
      <c r="B101" s="18">
        <f>IF($B$5="","",WORKDAY($B$5,68))</f>
        <v/>
      </c>
      <c r="C101" s="12" t="inlineStr">
        <is>
          <t>Payments economics: interchange++, fee &amp; cost analysis</t>
        </is>
      </c>
      <c r="D101" t="inlineStr">
        <is>
          <t>Live</t>
        </is>
      </c>
      <c r="E101" s="12" t="inlineStr">
        <is>
          <t>Deal Management + Solutions Engineering</t>
        </is>
      </c>
      <c r="F101" t="b">
        <v>0</v>
      </c>
    </row>
    <row r="102">
      <c r="A102" t="inlineStr">
        <is>
          <t>Week 15 · Mon</t>
        </is>
      </c>
      <c r="B102" s="18">
        <f>IF($B$5="","",WORKDAY($B$5,70))</f>
        <v/>
      </c>
      <c r="C102" s="12" t="inlineStr">
        <is>
          <t>Trade, deal structure &amp; negotiation case studies</t>
        </is>
      </c>
      <c r="D102" t="inlineStr">
        <is>
          <t>Live</t>
        </is>
      </c>
      <c r="E102" s="12" t="inlineStr">
        <is>
          <t>Pod lead (TBD)</t>
        </is>
      </c>
      <c r="F102" t="b">
        <v>0</v>
      </c>
    </row>
    <row r="103">
      <c r="A103" t="inlineStr">
        <is>
          <t>Week 15 · Wed</t>
        </is>
      </c>
      <c r="B103" s="18">
        <f>IF($B$5="","",WORKDAY($B$5,72))</f>
        <v/>
      </c>
      <c r="C103" s="12" t="inlineStr">
        <is>
          <t>Underwriting from the UW lens + MAF &amp; questionnaires</t>
        </is>
      </c>
      <c r="D103" t="inlineStr">
        <is>
          <t>Live</t>
        </is>
      </c>
      <c r="E103" s="12" t="inlineStr">
        <is>
          <t>Jarett Israel + Rithvik Nair</t>
        </is>
      </c>
      <c r="F103" t="b">
        <v>0</v>
      </c>
    </row>
    <row r="104">
      <c r="A104" t="inlineStr">
        <is>
          <t>Week 15 · Thu</t>
        </is>
      </c>
      <c r="B104" s="18">
        <f>IF($B$5="","",WORKDAY($B$5,73))</f>
        <v/>
      </c>
      <c r="C104" s="12" t="inlineStr">
        <is>
          <t>Objection handling drill + RevWay 10</t>
        </is>
      </c>
      <c r="D104" t="inlineStr">
        <is>
          <t>Practice</t>
        </is>
      </c>
      <c r="E104" s="12" t="inlineStr">
        <is>
          <t>Enablement</t>
        </is>
      </c>
      <c r="F104" t="b">
        <v>0</v>
      </c>
    </row>
    <row r="105">
      <c r="A105" t="inlineStr">
        <is>
          <t>Week 16 · Mon</t>
        </is>
      </c>
      <c r="B105" s="18">
        <f>IF($B$5="","",WORKDAY($B$5,75))</f>
        <v/>
      </c>
      <c r="C105" s="12" t="inlineStr">
        <is>
          <t>How to ramp a merchant: what happens after 'yes'</t>
        </is>
      </c>
      <c r="D105" t="inlineStr">
        <is>
          <t>Live</t>
        </is>
      </c>
      <c r="E105" s="12" t="inlineStr">
        <is>
          <t>Nicholas Schaffer</t>
        </is>
      </c>
      <c r="F105" t="b">
        <v>0</v>
      </c>
    </row>
    <row r="106">
      <c r="A106" t="inlineStr">
        <is>
          <t>Week 16 · Tue</t>
        </is>
      </c>
      <c r="B106" s="18">
        <f>IF($B$5="","",WORKDAY($B$5,76))</f>
        <v/>
      </c>
      <c r="C106" s="12" t="inlineStr">
        <is>
          <t>QBR walk-through</t>
        </is>
      </c>
      <c r="D106" t="inlineStr">
        <is>
          <t>Live</t>
        </is>
      </c>
      <c r="E106" s="12" t="inlineStr">
        <is>
          <t>Perrin Heyka</t>
        </is>
      </c>
      <c r="F106" t="b">
        <v>0</v>
      </c>
    </row>
    <row r="107">
      <c r="A107" t="inlineStr">
        <is>
          <t>Week 16 · Thu</t>
        </is>
      </c>
      <c r="B107" s="18">
        <f>IF($B$5="","",WORKDAY($B$5,78))</f>
        <v/>
      </c>
      <c r="C107" s="12" t="inlineStr">
        <is>
          <t>MBO, quota mechanics &amp; your path to quota</t>
        </is>
      </c>
      <c r="D107" t="inlineStr">
        <is>
          <t>Live</t>
        </is>
      </c>
      <c r="E107" s="12" t="inlineStr">
        <is>
          <t>Francesco Falcone + Jim Cho</t>
        </is>
      </c>
      <c r="F107" t="b">
        <v>0</v>
      </c>
    </row>
    <row r="108">
      <c r="A108" t="inlineStr">
        <is>
          <t>Week 17 · Tue</t>
        </is>
      </c>
      <c r="B108" s="18">
        <f>IF($B$5="","",WORKDAY($B$5,81))</f>
        <v/>
      </c>
      <c r="C108" s="12" t="inlineStr">
        <is>
          <t>Business case lab: quantify the value</t>
        </is>
      </c>
      <c r="D108" t="inlineStr">
        <is>
          <t>Practice</t>
        </is>
      </c>
      <c r="E108" s="12" t="inlineStr">
        <is>
          <t>Solutions Engineering + Deal Management</t>
        </is>
      </c>
      <c r="F108" t="b">
        <v>0</v>
      </c>
    </row>
    <row r="109">
      <c r="A109" t="inlineStr">
        <is>
          <t>Week 17 · Thu</t>
        </is>
      </c>
      <c r="B109" s="18">
        <f>IF($B$5="","",WORKDAY($B$5,83))</f>
        <v/>
      </c>
      <c r="C109" s="12" t="inlineStr">
        <is>
          <t>Proposal dry run with buddy</t>
        </is>
      </c>
      <c r="D109" t="inlineStr">
        <is>
          <t>Practice</t>
        </is>
      </c>
      <c r="E109" s="12" t="inlineStr">
        <is>
          <t>Buddy</t>
        </is>
      </c>
      <c r="F109" t="b">
        <v>0</v>
      </c>
    </row>
    <row r="110">
      <c r="A110" t="inlineStr">
        <is>
          <t>Week 18 · Wed</t>
        </is>
      </c>
      <c r="B110" s="18">
        <f>IF($B$5="","",WORKDAY($B$5,87))</f>
        <v/>
      </c>
      <c r="C110" s="12" t="inlineStr">
        <is>
          <t>Deal Room: present your top live deal</t>
        </is>
      </c>
      <c r="D110" t="inlineStr">
        <is>
          <t>Practice</t>
        </is>
      </c>
      <c r="E110" s="12" t="inlineStr">
        <is>
          <t>Line manager + Deal Desk</t>
        </is>
      </c>
      <c r="F110" t="b">
        <v>0</v>
      </c>
    </row>
    <row r="111">
      <c r="A111" t="inlineStr">
        <is>
          <t>Week 18 · Fri</t>
        </is>
      </c>
      <c r="B111" s="18">
        <f>IF($B$5="","",WORKDAY($B$5,89))</f>
        <v/>
      </c>
      <c r="C111" s="12" t="inlineStr">
        <is>
          <t>Day 90 review &amp; graduation</t>
        </is>
      </c>
      <c r="D111" t="inlineStr">
        <is>
          <t>Practice</t>
        </is>
      </c>
      <c r="E111" s="12" t="inlineStr">
        <is>
          <t>Line manager + Enablement</t>
        </is>
      </c>
      <c r="F111" t="b">
        <v>0</v>
      </c>
    </row>
  </sheetData>
  <conditionalFormatting sqref="A13:G111">
    <cfRule type="expression" priority="1" dxfId="0">
      <formula>$F13=TRUE</formula>
    </cfRule>
  </conditionalFormatting>
  <dataValidations count="1">
    <dataValidation sqref="F13:F111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0" customWidth="1" min="2" max="2"/>
    <col width="40" customWidth="1" min="3" max="3"/>
    <col width="10" customWidth="1" min="4" max="4"/>
  </cols>
  <sheetData>
    <row r="1">
      <c r="A1" s="1" t="inlineStr">
        <is>
          <t>Who to Meet</t>
        </is>
      </c>
    </row>
    <row r="2">
      <c r="A2" s="2" t="inlineStr">
        <is>
          <t>Finish within the first 30 working days. Partner teams are met properly at Follow the Flow (Day 60).</t>
        </is>
      </c>
    </row>
    <row r="3">
      <c r="A3" s="3" t="inlineStr">
        <is>
          <t>Leadership summary</t>
        </is>
      </c>
    </row>
    <row r="4">
      <c r="A4" s="4" t="inlineStr">
        <is>
          <t>People</t>
        </is>
      </c>
      <c r="B4" s="5" t="n">
        <v>10</v>
      </c>
      <c r="C4" s="4" t="inlineStr">
        <is>
          <t>Met</t>
        </is>
      </c>
      <c r="D4" s="5">
        <f>COUNTIF(D8:D17,TRUE)</f>
        <v/>
      </c>
      <c r="E4" s="11" t="inlineStr">
        <is>
          <t>Deadline</t>
        </is>
      </c>
      <c r="F4" s="19" t="inlineStr">
        <is>
          <t>Day 30 (Week 6)</t>
        </is>
      </c>
    </row>
    <row r="7">
      <c r="A7" s="7" t="inlineStr">
        <is>
          <t>Priority</t>
        </is>
      </c>
      <c r="B7" s="7" t="inlineStr">
        <is>
          <t>Name</t>
        </is>
      </c>
      <c r="C7" s="7" t="inlineStr">
        <is>
          <t>Why</t>
        </is>
      </c>
      <c r="D7" s="7" t="inlineStr">
        <is>
          <t>Met?</t>
        </is>
      </c>
    </row>
    <row r="8">
      <c r="A8" s="9" t="inlineStr">
        <is>
          <t>P0</t>
        </is>
      </c>
      <c r="B8" s="9" t="inlineStr">
        <is>
          <t>Line manager &amp; buddy</t>
        </is>
      </c>
      <c r="C8" s="9" t="inlineStr">
        <is>
          <t>Your manager and day-to-day guide</t>
        </is>
      </c>
      <c r="D8" s="9" t="b">
        <v>0</v>
      </c>
    </row>
    <row r="9">
      <c r="A9" s="9" t="inlineStr">
        <is>
          <t>P0</t>
        </is>
      </c>
      <c r="B9" s="9" t="inlineStr">
        <is>
          <t>Jim Cho</t>
        </is>
      </c>
      <c r="C9" s="9" t="inlineStr">
        <is>
          <t>VP Sales</t>
        </is>
      </c>
      <c r="D9" s="9" t="b">
        <v>0</v>
      </c>
    </row>
    <row r="10">
      <c r="A10" s="9" t="inlineStr">
        <is>
          <t>P1</t>
        </is>
      </c>
      <c r="B10" s="9" t="inlineStr">
        <is>
          <t>Jasmine Jancsik</t>
        </is>
      </c>
      <c r="C10" s="9" t="inlineStr">
        <is>
          <t>Lead Enablement, US</t>
        </is>
      </c>
      <c r="D10" s="9" t="b">
        <v>0</v>
      </c>
    </row>
    <row r="11">
      <c r="A11" s="9" t="inlineStr">
        <is>
          <t>P1</t>
        </is>
      </c>
      <c r="B11" s="9" t="inlineStr">
        <is>
          <t>Zack Levine</t>
        </is>
      </c>
      <c r="C11" s="9" t="inlineStr">
        <is>
          <t>NORAM GM</t>
        </is>
      </c>
      <c r="D11" s="9" t="b">
        <v>0</v>
      </c>
    </row>
    <row r="12">
      <c r="A12" s="9" t="inlineStr">
        <is>
          <t>P1</t>
        </is>
      </c>
      <c r="B12" s="9" t="inlineStr">
        <is>
          <t>Jaime Yeager / Louis Taupin / Luke Brauer</t>
        </is>
      </c>
      <c r="C12" s="9" t="inlineStr">
        <is>
          <t>Pod leaders (ATL / SF / NY)</t>
        </is>
      </c>
      <c r="D12" s="9" t="b">
        <v>0</v>
      </c>
    </row>
    <row r="13">
      <c r="A13" s="9" t="inlineStr">
        <is>
          <t>P1</t>
        </is>
      </c>
      <c r="B13" s="9" t="inlineStr">
        <is>
          <t>Faith Bergman / Rithvik Nair</t>
        </is>
      </c>
      <c r="C13" s="9" t="inlineStr">
        <is>
          <t>Deal Management</t>
        </is>
      </c>
      <c r="D13" s="9" t="b">
        <v>0</v>
      </c>
    </row>
    <row r="14">
      <c r="A14" s="9" t="inlineStr">
        <is>
          <t>P1</t>
        </is>
      </c>
      <c r="B14" s="9" t="inlineStr">
        <is>
          <t>Sandra Suen</t>
        </is>
      </c>
      <c r="C14" s="9" t="inlineStr">
        <is>
          <t>BDR lead + RevOps strategy</t>
        </is>
      </c>
      <c r="D14" s="9" t="b">
        <v>0</v>
      </c>
    </row>
    <row r="15">
      <c r="A15" s="9" t="inlineStr">
        <is>
          <t>P2</t>
        </is>
      </c>
      <c r="B15" s="9" t="inlineStr">
        <is>
          <t>Teammates in your pod</t>
        </is>
      </c>
      <c r="C15" s="9" t="inlineStr">
        <is>
          <t>Coffee in Weeks 1–2</t>
        </is>
      </c>
      <c r="D15" s="9" t="b">
        <v>0</v>
      </c>
    </row>
    <row r="16">
      <c r="A16" s="9" t="inlineStr">
        <is>
          <t>P2</t>
        </is>
      </c>
      <c r="B16" s="9" t="inlineStr">
        <is>
          <t>Sam Boukhiam</t>
        </is>
      </c>
      <c r="C16" s="9" t="inlineStr">
        <is>
          <t>Top rep: tips &amp; tricks</t>
        </is>
      </c>
      <c r="D16" s="9" t="b">
        <v>0</v>
      </c>
    </row>
    <row r="17">
      <c r="A17" s="9" t="inlineStr">
        <is>
          <t>P2</t>
        </is>
      </c>
      <c r="B17" s="9" t="inlineStr">
        <is>
          <t>Marketing team</t>
        </is>
      </c>
      <c r="C17" s="9" t="inlineStr">
        <is>
          <t>Local marketing</t>
        </is>
      </c>
      <c r="D17" s="9" t="b">
        <v>0</v>
      </c>
    </row>
  </sheetData>
  <autoFilter ref="A7:D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2026-10-01T20:05:24Z</dcterms:created>
  <dcterms:modified xsi:type="dcterms:W3CDTF">2026-10-01T20:05:24Z</dcterms:modified>
</cp:coreProperties>
</file>