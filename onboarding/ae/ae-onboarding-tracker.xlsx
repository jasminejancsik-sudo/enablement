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ventory" sheetId="2" state="visible" r:id="rId2"/>
    <sheet name="Build Backlog" sheetId="3" state="visible" r:id="rId3"/>
    <sheet name="Explore Call Cert" sheetId="4" state="visible" r:id="rId4"/>
    <sheet name="Pitch Deck Cert" sheetId="5" state="visible" r:id="rId5"/>
    <sheet name="New Hire Tracker" sheetId="6" state="visible" r:id="rId6"/>
    <sheet name="Who to Meet" sheetId="7" state="visible" r:id="rId7"/>
  </sheets>
  <definedNames>
    <definedName name="_xlnm._FilterDatabase" localSheetId="1" hidden="1">'Inventory'!$A$3:$K$86</definedName>
    <definedName name="_xlnm._FilterDatabase" localSheetId="2" hidden="1">'Build Backlog'!$A$3:$J$35</definedName>
    <definedName name="_xlnm._FilterDatabase" localSheetId="6" hidden="1">'Who to Meet'!$A$3:$D$21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"/>
  </numFmts>
  <fonts count="7">
    <font>
      <name val="Calibri"/>
      <family val="2"/>
      <color theme="1"/>
      <sz val="11"/>
      <scheme val="minor"/>
    </font>
    <font>
      <b val="1"/>
      <color rgb="000B1F3A"/>
      <sz val="18"/>
    </font>
    <font>
      <i val="1"/>
      <color rgb="0052514E"/>
    </font>
    <font>
      <b val="1"/>
    </font>
    <font>
      <b val="1"/>
      <color rgb="00FFFFFF"/>
    </font>
    <font>
      <b val="1"/>
      <color rgb="000B1F3A"/>
      <sz val="16"/>
    </font>
    <font>
      <b val="1"/>
      <color rgb="000B1F3A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D9D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FF3DF"/>
        </patternFill>
      </fill>
    </dxf>
    <dxf>
      <fill>
        <patternFill patternType="solid">
          <fgColor rgb="00FDF0CF"/>
        </patternFill>
      </fill>
    </dxf>
    <dxf>
      <fill>
        <patternFill patternType="solid">
          <fgColor rgb="00F8DC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70" customWidth="1" min="4" max="4"/>
    <col width="18" customWidth="1" min="5" max="5"/>
  </cols>
  <sheetData>
    <row r="1">
      <c r="A1" s="1" t="inlineStr">
        <is>
          <t>NORAM Account Executive Onboarding</t>
        </is>
      </c>
    </row>
    <row r="2">
      <c r="A2" t="inlineStr">
        <is>
          <t>From Day 1 to first Propose: a 90-day path built for selling payments at Checkout.com</t>
        </is>
      </c>
    </row>
    <row r="3">
      <c r="A3" s="2" t="inlineStr">
        <is>
          <t>Jasmine Jancsik, Lead Enablement, US · v1 draft, October 2026</t>
        </is>
      </c>
    </row>
    <row r="5">
      <c r="A5" s="3" t="inlineStr">
        <is>
          <t>Sessions mapped</t>
        </is>
      </c>
      <c r="B5">
        <f>COUNTA(Inventory!C4:C500)</f>
        <v/>
      </c>
    </row>
    <row r="6">
      <c r="A6" s="3" t="inlineStr">
        <is>
          <t>Ready today</t>
        </is>
      </c>
      <c r="B6">
        <f>COUNTIF(Inventory!H4:H500,"Ready")</f>
        <v/>
      </c>
    </row>
    <row r="7">
      <c r="A7" s="3" t="inlineStr">
        <is>
          <t>Need refresh</t>
        </is>
      </c>
      <c r="B7">
        <f>COUNTIF(Inventory!H4:H500,"Refresh")</f>
        <v/>
      </c>
    </row>
    <row r="8">
      <c r="A8" s="3" t="inlineStr">
        <is>
          <t>To build</t>
        </is>
      </c>
      <c r="B8">
        <f>COUNTIF(Inventory!H4:H500,"Build")</f>
        <v/>
      </c>
    </row>
    <row r="9">
      <c r="A9" s="3" t="n"/>
    </row>
    <row r="10">
      <c r="A10" s="3" t="inlineStr">
        <is>
          <t>Build/refresh items done</t>
        </is>
      </c>
      <c r="B10">
        <f>COUNTIF('Build Backlog'!H4:H500,"Done")</f>
        <v/>
      </c>
    </row>
    <row r="12">
      <c r="A12" s="4" t="inlineStr">
        <is>
          <t>Phase</t>
        </is>
      </c>
      <c r="B12" s="4" t="inlineStr">
        <is>
          <t>Days</t>
        </is>
      </c>
      <c r="C12" s="4" t="inlineStr">
        <is>
          <t>Theme</t>
        </is>
      </c>
      <c r="D12" s="4" t="inlineStr">
        <is>
          <t>Goal</t>
        </is>
      </c>
      <c r="E12" s="4" t="inlineStr">
        <is>
          <t>Target selling time</t>
        </is>
      </c>
    </row>
    <row r="13">
      <c r="A13" s="5" t="inlineStr">
        <is>
          <t>Pre-board</t>
        </is>
      </c>
      <c r="B13" s="5" t="inlineStr">
        <is>
          <t>Before Day 1</t>
        </is>
      </c>
      <c r="C13" s="5" t="inlineStr">
        <is>
          <t>Arrive ready</t>
        </is>
      </c>
      <c r="D13" s="5" t="inlineStr">
        <is>
          <t>Day 1 is about people, not passwords. Tools, plan and buddy are in place before the AE walks in.</t>
        </is>
      </c>
      <c r="E13" s="5" t="inlineStr">
        <is>
          <t>0%</t>
        </is>
      </c>
    </row>
    <row r="14">
      <c r="A14" s="5" t="inlineStr">
        <is>
          <t>Land</t>
        </is>
      </c>
      <c r="B14" s="5" t="inlineStr">
        <is>
          <t>Days 1–14</t>
        </is>
      </c>
      <c r="C14" s="5" t="inlineStr">
        <is>
          <t>Belong &amp; orient</t>
        </is>
      </c>
      <c r="D14" s="5" t="inlineStr">
        <is>
          <t>Understand how Checkout sells, who's who, the territory and the rules of engagement. Payments is told as a story first, then studied as a curriculum.</t>
        </is>
      </c>
      <c r="E14" s="5" t="inlineStr">
        <is>
          <t>≤10%</t>
        </is>
      </c>
    </row>
    <row r="15">
      <c r="A15" s="5" t="inlineStr">
        <is>
          <t>Learn</t>
        </is>
      </c>
      <c r="B15" s="5" t="inlineStr">
        <is>
          <t>Days 15–30</t>
        </is>
      </c>
      <c r="C15" s="5" t="inlineStr">
        <is>
          <t>Payments &amp; product fluency</t>
        </is>
      </c>
      <c r="D15" s="5" t="inlineStr">
        <is>
          <t>Explain all five pillars in a merchant's language, see each pillar in live deals, and start call reviews and account planning.</t>
        </is>
      </c>
      <c r="E15" s="5" t="inlineStr">
        <is>
          <t>20%</t>
        </is>
      </c>
    </row>
    <row r="16">
      <c r="A16" s="5" t="inlineStr">
        <is>
          <t>Practice</t>
        </is>
      </c>
      <c r="B16" s="5" t="inlineStr">
        <is>
          <t>Days 31–60</t>
        </is>
      </c>
      <c r="C16" s="5" t="inlineStr">
        <is>
          <t>Verticals, process &amp; discovery</t>
        </is>
      </c>
      <c r="D16" s="5" t="inlineStr">
        <is>
          <t>Go deep on NORAM verticals and the deal machine (deal desk, underwriting, partners), then prove discovery skills in the Day 60 Explore stack.</t>
        </is>
      </c>
      <c r="E16" s="5" t="inlineStr">
        <is>
          <t>50%</t>
        </is>
      </c>
    </row>
    <row r="17">
      <c r="A17" s="5" t="inlineStr">
        <is>
          <t>Perform</t>
        </is>
      </c>
      <c r="B17" s="5" t="inlineStr">
        <is>
          <t>Days 61–90</t>
        </is>
      </c>
      <c r="C17" s="5" t="inlineStr">
        <is>
          <t>Price, propose &amp; close</t>
        </is>
      </c>
      <c r="D17" s="5" t="inlineStr">
        <is>
          <t>Price a deal, build a business case and present a tailored Checkout pitch. Graduation is the Day 90 Pitch Deck Certification.</t>
        </is>
      </c>
      <c r="E17" s="5" t="inlineStr">
        <is>
          <t>70%</t>
        </is>
      </c>
    </row>
    <row r="18">
      <c r="A18" s="5" t="inlineStr">
        <is>
          <t>Everboard</t>
        </is>
      </c>
      <c r="B18" s="5" t="inlineStr">
        <is>
          <t>Day 90+</t>
        </is>
      </c>
      <c r="C18" s="5" t="inlineStr">
        <is>
          <t>Keep growing</t>
        </is>
      </c>
      <c r="D18" s="5" t="inlineStr">
        <is>
          <t>Recurring skills sessions, call clinics and yearly recertification keep tenured AEs sharp.</t>
        </is>
      </c>
      <c r="E18" s="5" t="inlineStr">
        <is>
          <t>90%+</t>
        </is>
      </c>
    </row>
    <row r="20">
      <c r="A20" s="4" t="inlineStr">
        <is>
          <t>Milestone</t>
        </is>
      </c>
      <c r="B20" s="4" t="inlineStr">
        <is>
          <t>Day</t>
        </is>
      </c>
      <c r="C20" s="4" t="inlineStr">
        <is>
          <t>What</t>
        </is>
      </c>
      <c r="D20" s="4" t="inlineStr">
        <is>
          <t>Pass mark</t>
        </is>
      </c>
    </row>
    <row r="21">
      <c r="A21" s="5" t="inlineStr">
        <is>
          <t>Day 30 Checkpoint</t>
        </is>
      </c>
      <c r="B21" s="5" t="n">
        <v>30</v>
      </c>
      <c r="C21" s="5" t="inlineStr">
        <is>
          <t>Elevator pitch sign-off + five-pillar knowledge check</t>
        </is>
      </c>
      <c r="D21" s="5" t="inlineStr">
        <is>
          <t>Pitch approved by manager · ≥ 80% on the pillar knowledge check</t>
        </is>
      </c>
    </row>
    <row r="22">
      <c r="A22" s="5" t="inlineStr">
        <is>
          <t>Explore Call Certification</t>
        </is>
      </c>
      <c r="B22" s="5" t="n">
        <v>60</v>
      </c>
      <c r="C22" s="5" t="inlineStr">
        <is>
          <t>Live simulated Explore call with a payments persona, scored on a 7-part rubric</t>
        </is>
      </c>
      <c r="D22" s="5" t="inlineStr">
        <is>
          <t>≥ 80% overall and no section below 3/5</t>
        </is>
      </c>
    </row>
    <row r="23">
      <c r="A23" s="5" t="inlineStr">
        <is>
          <t>Pitch Deck Certification</t>
        </is>
      </c>
      <c r="B23" s="5" t="n">
        <v>90</v>
      </c>
      <c r="C23" s="5" t="inlineStr">
        <is>
          <t>Tailored pitch deck for a real territory account, presented to a panel</t>
        </is>
      </c>
      <c r="D23" s="5" t="inlineStr">
        <is>
          <t>≥ 80% overall and no section below 3/5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52" customWidth="1" min="3" max="3"/>
    <col width="18" customWidth="1" min="4" max="4"/>
    <col width="13" customWidth="1" min="5" max="5"/>
    <col width="7" customWidth="1" min="6" max="6"/>
    <col width="30" customWidth="1" min="7" max="7"/>
    <col width="10" customWidth="1" min="8" max="8"/>
    <col width="13" customWidth="1" min="9" max="9"/>
    <col width="70" customWidth="1" min="10" max="10"/>
    <col width="14" customWidth="1" min="11" max="11"/>
  </cols>
  <sheetData>
    <row r="1">
      <c r="A1" s="2" t="inlineStr">
        <is>
          <t>Every AE onboarding session: what exists today (Ready), what needs updating (Refresh) and what's missing (Build).</t>
        </is>
      </c>
    </row>
    <row r="3">
      <c r="A3" s="6" t="inlineStr">
        <is>
          <t>Phase</t>
        </is>
      </c>
      <c r="B3" s="6" t="inlineStr">
        <is>
          <t>Week</t>
        </is>
      </c>
      <c r="C3" s="6" t="inlineStr">
        <is>
          <t>Session</t>
        </is>
      </c>
      <c r="D3" s="6" t="inlineStr">
        <is>
          <t>Category</t>
        </is>
      </c>
      <c r="E3" s="6" t="inlineStr">
        <is>
          <t>Format</t>
        </is>
      </c>
      <c r="F3" s="6" t="inlineStr">
        <is>
          <t>Hours</t>
        </is>
      </c>
      <c r="G3" s="6" t="inlineStr">
        <is>
          <t>Owner</t>
        </is>
      </c>
      <c r="H3" s="6" t="inlineStr">
        <is>
          <t>Status</t>
        </is>
      </c>
      <c r="I3" s="6" t="inlineStr">
        <is>
          <t>Stack</t>
        </is>
      </c>
      <c r="J3" s="6" t="inlineStr">
        <is>
          <t>What needs to happen / notes</t>
        </is>
      </c>
      <c r="K3" s="6" t="inlineStr">
        <is>
          <t>Source</t>
        </is>
      </c>
    </row>
    <row r="4">
      <c r="A4" s="7" t="inlineStr">
        <is>
          <t>Pre-board (Before Day 1)</t>
        </is>
      </c>
      <c r="B4" s="7" t="n">
        <v>0</v>
      </c>
      <c r="C4" s="7" t="inlineStr">
        <is>
          <t>Welcome pack, 90-day plan &amp; personal tracker issued</t>
        </is>
      </c>
      <c r="D4" s="7" t="inlineStr">
        <is>
          <t>Foundations</t>
        </is>
      </c>
      <c r="E4" s="7" t="inlineStr">
        <is>
          <t>Self-paced</t>
        </is>
      </c>
      <c r="F4" s="7" t="n">
        <v>0.5</v>
      </c>
      <c r="G4" s="7" t="inlineStr">
        <is>
          <t>Enablement</t>
        </is>
      </c>
      <c r="H4" s="7" t="inlineStr">
        <is>
          <t>Build</t>
        </is>
      </c>
      <c r="I4" s="7" t="inlineStr"/>
      <c r="J4" s="7" t="inlineStr">
        <is>
          <t>Send the personal tracker (Karlie Chen format) and this 90-day map before Day 1 so the new hire arrives knowing the path.</t>
        </is>
      </c>
      <c r="K4" s="7" t="inlineStr">
        <is>
          <t>Karlie Tracker</t>
        </is>
      </c>
    </row>
    <row r="5">
      <c r="A5" s="7" t="inlineStr">
        <is>
          <t>Pre-board (Before Day 1)</t>
        </is>
      </c>
      <c r="B5" s="7" t="n">
        <v>0</v>
      </c>
      <c r="C5" s="7" t="inlineStr">
        <is>
          <t>Tool access pre-provisioned (Salesforce, Clari, Apollo, LinkedIn Sales Nav, Highspot, Glean)</t>
        </is>
      </c>
      <c r="D5" s="7" t="inlineStr">
        <is>
          <t>Tools &amp; Process</t>
        </is>
      </c>
      <c r="E5" s="7" t="inlineStr">
        <is>
          <t>Self-paced</t>
        </is>
      </c>
      <c r="F5" s="7" t="n">
        <v>0</v>
      </c>
      <c r="G5" s="7" t="inlineStr">
        <is>
          <t>Enablement + IT</t>
        </is>
      </c>
      <c r="H5" s="7" t="inlineStr">
        <is>
          <t>Refresh</t>
        </is>
      </c>
      <c r="I5" s="7" t="inlineStr"/>
      <c r="J5" s="7" t="inlineStr">
        <is>
          <t>Today this takes a Day 1 session. Request access at offer-accept so Day 1 can go to people and context.</t>
        </is>
      </c>
      <c r="K5" s="7" t="inlineStr">
        <is>
          <t>Q4 Plan</t>
        </is>
      </c>
    </row>
    <row r="6">
      <c r="A6" s="7" t="inlineStr">
        <is>
          <t>Pre-board (Before Day 1)</t>
        </is>
      </c>
      <c r="B6" s="7" t="n">
        <v>0</v>
      </c>
      <c r="C6" s="7" t="inlineStr">
        <is>
          <t>Buddy assigned + manager welcome call</t>
        </is>
      </c>
      <c r="D6" s="7" t="inlineStr">
        <is>
          <t>People &amp; Network</t>
        </is>
      </c>
      <c r="E6" s="7" t="inlineStr">
        <is>
          <t>Live</t>
        </is>
      </c>
      <c r="F6" s="7" t="n">
        <v>0.5</v>
      </c>
      <c r="G6" s="7" t="inlineStr">
        <is>
          <t>Line manager</t>
        </is>
      </c>
      <c r="H6" s="7" t="inlineStr">
        <is>
          <t>Refresh</t>
        </is>
      </c>
      <c r="I6" s="7" t="inlineStr"/>
      <c r="J6" s="7" t="inlineStr">
        <is>
          <t>Buddies are used informally (elevator pitch, role plays). Formalise it with a one-page buddy guide and a weekly 30-minute slot.</t>
        </is>
      </c>
      <c r="K6" s="7" t="inlineStr">
        <is>
          <t>Karlie Tracker</t>
        </is>
      </c>
    </row>
    <row r="7">
      <c r="A7" s="7" t="inlineStr">
        <is>
          <t>Land (Days 1–14)</t>
        </is>
      </c>
      <c r="B7" s="7" t="n">
        <v>1</v>
      </c>
      <c r="C7" s="7" t="inlineStr">
        <is>
          <t>IT, People &amp; Benefits inductions</t>
        </is>
      </c>
      <c r="D7" s="7" t="inlineStr">
        <is>
          <t>Foundations</t>
        </is>
      </c>
      <c r="E7" s="7" t="inlineStr">
        <is>
          <t>Live</t>
        </is>
      </c>
      <c r="F7" s="7" t="n">
        <v>3</v>
      </c>
      <c r="G7" s="7" t="inlineStr">
        <is>
          <t>People Team</t>
        </is>
      </c>
      <c r="H7" s="7" t="inlineStr">
        <is>
          <t>Ready</t>
        </is>
      </c>
      <c r="I7" s="7" t="inlineStr"/>
      <c r="J7" s="7" t="inlineStr"/>
      <c r="K7" s="7" t="inlineStr">
        <is>
          <t>Q4 Plan</t>
        </is>
      </c>
    </row>
    <row r="8">
      <c r="A8" s="7" t="inlineStr">
        <is>
          <t>Land (Days 1–14)</t>
        </is>
      </c>
      <c r="B8" s="7" t="n">
        <v>1</v>
      </c>
      <c r="C8" s="7" t="inlineStr">
        <is>
          <t>Your onboarding plan: the 30/60/90 kickoff</t>
        </is>
      </c>
      <c r="D8" s="7" t="inlineStr">
        <is>
          <t>Foundations</t>
        </is>
      </c>
      <c r="E8" s="7" t="inlineStr">
        <is>
          <t>Live</t>
        </is>
      </c>
      <c r="F8" s="7" t="n">
        <v>0.5</v>
      </c>
      <c r="G8" s="7" t="inlineStr">
        <is>
          <t>Enablement</t>
        </is>
      </c>
      <c r="H8" s="7" t="inlineStr">
        <is>
          <t>Ready</t>
        </is>
      </c>
      <c r="I8" s="7" t="inlineStr"/>
      <c r="J8" s="7" t="inlineStr"/>
      <c r="K8" s="7" t="inlineStr">
        <is>
          <t>Q4 Plan</t>
        </is>
      </c>
    </row>
    <row r="9">
      <c r="A9" s="7" t="inlineStr">
        <is>
          <t>Land (Days 1–14)</t>
        </is>
      </c>
      <c r="B9" s="7" t="n">
        <v>1</v>
      </c>
      <c r="C9" s="7" t="inlineStr">
        <is>
          <t>Intro to Checkout's Revenue Org (Global + NORAM)</t>
        </is>
      </c>
      <c r="D9" s="7" t="inlineStr">
        <is>
          <t>Foundations</t>
        </is>
      </c>
      <c r="E9" s="7" t="inlineStr">
        <is>
          <t>Live</t>
        </is>
      </c>
      <c r="F9" s="7" t="n">
        <v>1.5</v>
      </c>
      <c r="G9" s="7" t="inlineStr">
        <is>
          <t>Michel Tornabene</t>
        </is>
      </c>
      <c r="H9" s="7" t="inlineStr">
        <is>
          <t>Ready</t>
        </is>
      </c>
      <c r="I9" s="7" t="inlineStr"/>
      <c r="J9" s="7" t="inlineStr"/>
      <c r="K9" s="7" t="inlineStr">
        <is>
          <t>Karlie Tracker</t>
        </is>
      </c>
    </row>
    <row r="10">
      <c r="A10" s="7" t="inlineStr">
        <is>
          <t>Land (Days 1–14)</t>
        </is>
      </c>
      <c r="B10" s="7" t="n">
        <v>1</v>
      </c>
      <c r="C10" s="7" t="inlineStr">
        <is>
          <t>Mandatory compliance training (Nova)</t>
        </is>
      </c>
      <c r="D10" s="7" t="inlineStr">
        <is>
          <t>Foundations</t>
        </is>
      </c>
      <c r="E10" s="7" t="inlineStr">
        <is>
          <t>Self-paced</t>
        </is>
      </c>
      <c r="F10" s="7" t="n">
        <v>3</v>
      </c>
      <c r="G10" s="7" t="inlineStr">
        <is>
          <t>New hire</t>
        </is>
      </c>
      <c r="H10" s="7" t="inlineStr">
        <is>
          <t>Ready</t>
        </is>
      </c>
      <c r="I10" s="7" t="inlineStr"/>
      <c r="J10" s="7" t="inlineStr"/>
      <c r="K10" s="7" t="inlineStr">
        <is>
          <t>Q4 Plan</t>
        </is>
      </c>
    </row>
    <row r="11">
      <c r="A11" s="7" t="inlineStr">
        <is>
          <t>Land (Days 1–14)</t>
        </is>
      </c>
      <c r="B11" s="7" t="n">
        <v>1</v>
      </c>
      <c r="C11" s="7" t="inlineStr">
        <is>
          <t>Payments at Checkout in 60 minutes</t>
        </is>
      </c>
      <c r="D11" s="7" t="inlineStr">
        <is>
          <t>Payments &amp; Product</t>
        </is>
      </c>
      <c r="E11" s="7" t="inlineStr">
        <is>
          <t>Live</t>
        </is>
      </c>
      <c r="F11" s="7" t="n">
        <v>1</v>
      </c>
      <c r="G11" s="7" t="inlineStr">
        <is>
          <t>Enablement + Solutions Engineering</t>
        </is>
      </c>
      <c r="H11" s="7" t="inlineStr">
        <is>
          <t>Build</t>
        </is>
      </c>
      <c r="I11" s="7" t="inlineStr"/>
      <c r="J11" s="7" t="inlineStr">
        <is>
          <t>A story-led primer: the life of a card transaction, where Checkout earns, and why merchants switch. It replaces the Day 2 deep dive into Payments Academy and gives context before the curriculum starts.</t>
        </is>
      </c>
      <c r="K11" s="7" t="inlineStr">
        <is>
          <t>New</t>
        </is>
      </c>
    </row>
    <row r="12">
      <c r="A12" s="7" t="inlineStr">
        <is>
          <t>Land (Days 1–14)</t>
        </is>
      </c>
      <c r="B12" s="7" t="n">
        <v>1</v>
      </c>
      <c r="C12" s="7" t="inlineStr">
        <is>
          <t>Sales Tools &amp; Chrome Extensions</t>
        </is>
      </c>
      <c r="D12" s="7" t="inlineStr">
        <is>
          <t>Tools &amp; Process</t>
        </is>
      </c>
      <c r="E12" s="7" t="inlineStr">
        <is>
          <t>Live</t>
        </is>
      </c>
      <c r="F12" s="7" t="n">
        <v>1</v>
      </c>
      <c r="G12" s="7" t="inlineStr">
        <is>
          <t>J.J. Henry</t>
        </is>
      </c>
      <c r="H12" s="7" t="inlineStr">
        <is>
          <t>Ready</t>
        </is>
      </c>
      <c r="I12" s="7" t="inlineStr"/>
      <c r="J12" s="7" t="inlineStr"/>
      <c r="K12" s="7" t="inlineStr">
        <is>
          <t>Karlie Tracker</t>
        </is>
      </c>
    </row>
    <row r="13">
      <c r="A13" s="7" t="inlineStr">
        <is>
          <t>Land (Days 1–14)</t>
        </is>
      </c>
      <c r="B13" s="7" t="n">
        <v>1</v>
      </c>
      <c r="C13" s="7" t="inlineStr">
        <is>
          <t>Finding answers: Highspot, Confluence &amp; Glean</t>
        </is>
      </c>
      <c r="D13" s="7" t="inlineStr">
        <is>
          <t>Tools &amp; Process</t>
        </is>
      </c>
      <c r="E13" s="7" t="inlineStr">
        <is>
          <t>Live</t>
        </is>
      </c>
      <c r="F13" s="7" t="n">
        <v>1</v>
      </c>
      <c r="G13" s="7" t="inlineStr">
        <is>
          <t>Enablement</t>
        </is>
      </c>
      <c r="H13" s="7" t="inlineStr">
        <is>
          <t>Refresh</t>
        </is>
      </c>
      <c r="I13" s="7" t="inlineStr"/>
      <c r="J13" s="7" t="inlineStr">
        <is>
          <t>Update for the Highspot→Drive transition and Glean adoption (charter priority 3).</t>
        </is>
      </c>
      <c r="K13" s="7" t="inlineStr">
        <is>
          <t>Q4 Plan</t>
        </is>
      </c>
    </row>
    <row r="14">
      <c r="A14" s="7" t="inlineStr">
        <is>
          <t>Land (Days 1–14)</t>
        </is>
      </c>
      <c r="B14" s="7" t="n">
        <v>1</v>
      </c>
      <c r="C14" s="7" t="inlineStr">
        <is>
          <t>Office hours with the NORAM GM</t>
        </is>
      </c>
      <c r="D14" s="7" t="inlineStr">
        <is>
          <t>People &amp; Network</t>
        </is>
      </c>
      <c r="E14" s="7" t="inlineStr">
        <is>
          <t>Live</t>
        </is>
      </c>
      <c r="F14" s="7" t="n">
        <v>0.5</v>
      </c>
      <c r="G14" s="7" t="inlineStr">
        <is>
          <t>Zack Levine</t>
        </is>
      </c>
      <c r="H14" s="7" t="inlineStr">
        <is>
          <t>Ready</t>
        </is>
      </c>
      <c r="I14" s="7" t="inlineStr"/>
      <c r="J14" s="7" t="inlineStr"/>
      <c r="K14" s="7" t="inlineStr">
        <is>
          <t>Q4 Plan</t>
        </is>
      </c>
    </row>
    <row r="15">
      <c r="A15" s="7" t="inlineStr">
        <is>
          <t>Land (Days 1–14)</t>
        </is>
      </c>
      <c r="B15" s="7" t="n">
        <v>1</v>
      </c>
      <c r="C15" s="7" t="inlineStr">
        <is>
          <t>RevWay 0–1: Intro to Revenue Way &amp; Buyer Psychology</t>
        </is>
      </c>
      <c r="D15" s="7" t="inlineStr">
        <is>
          <t>Sales Skills</t>
        </is>
      </c>
      <c r="E15" s="7" t="inlineStr">
        <is>
          <t>Self-paced</t>
        </is>
      </c>
      <c r="F15" s="7" t="n">
        <v>2.5</v>
      </c>
      <c r="G15" s="7" t="inlineStr">
        <is>
          <t>Self-directed</t>
        </is>
      </c>
      <c r="H15" s="7" t="inlineStr">
        <is>
          <t>Ready</t>
        </is>
      </c>
      <c r="I15" s="7" t="inlineStr"/>
      <c r="J15" s="7" t="inlineStr"/>
      <c r="K15" s="7" t="inlineStr">
        <is>
          <t>Q4 Plan</t>
        </is>
      </c>
    </row>
    <row r="16">
      <c r="A16" s="7" t="inlineStr">
        <is>
          <t>Land (Days 1–14)</t>
        </is>
      </c>
      <c r="B16" s="7" t="n">
        <v>1</v>
      </c>
      <c r="C16" s="7" t="inlineStr">
        <is>
          <t>Meet your pod + buddy coffee</t>
        </is>
      </c>
      <c r="D16" s="7" t="inlineStr">
        <is>
          <t>People &amp; Network</t>
        </is>
      </c>
      <c r="E16" s="7" t="inlineStr">
        <is>
          <t>Practice</t>
        </is>
      </c>
      <c r="F16" s="7" t="n">
        <v>1</v>
      </c>
      <c r="G16" s="7" t="inlineStr">
        <is>
          <t>Pod leader</t>
        </is>
      </c>
      <c r="H16" s="7" t="inlineStr">
        <is>
          <t>Ready</t>
        </is>
      </c>
      <c r="I16" s="7" t="inlineStr"/>
      <c r="J16" s="7" t="inlineStr"/>
      <c r="K16" s="7" t="inlineStr">
        <is>
          <t>Q4 Plan</t>
        </is>
      </c>
    </row>
    <row r="17">
      <c r="A17" s="7" t="inlineStr">
        <is>
          <t>Land (Days 1–14)</t>
        </is>
      </c>
      <c r="B17" s="7" t="n">
        <v>2</v>
      </c>
      <c r="C17" s="7" t="inlineStr">
        <is>
          <t>Buyer personas in payments (Head of Payments, CFO, CPO, Eng)</t>
        </is>
      </c>
      <c r="D17" s="7" t="inlineStr">
        <is>
          <t>Sales Skills</t>
        </is>
      </c>
      <c r="E17" s="7" t="inlineStr">
        <is>
          <t>Live</t>
        </is>
      </c>
      <c r="F17" s="7" t="n">
        <v>1</v>
      </c>
      <c r="G17" s="7" t="inlineStr">
        <is>
          <t>J.J. Henry</t>
        </is>
      </c>
      <c r="H17" s="7" t="inlineStr">
        <is>
          <t>Ready</t>
        </is>
      </c>
      <c r="I17" s="7" t="inlineStr"/>
      <c r="J17" s="7" t="inlineStr"/>
      <c r="K17" s="7" t="inlineStr">
        <is>
          <t>Karlie Tracker</t>
        </is>
      </c>
    </row>
    <row r="18">
      <c r="A18" s="7" t="inlineStr">
        <is>
          <t>Land (Days 1–14)</t>
        </is>
      </c>
      <c r="B18" s="7" t="n">
        <v>2</v>
      </c>
      <c r="C18" s="7" t="inlineStr">
        <is>
          <t>Competitive Landscape</t>
        </is>
      </c>
      <c r="D18" s="7" t="inlineStr">
        <is>
          <t>Payments &amp; Product</t>
        </is>
      </c>
      <c r="E18" s="7" t="inlineStr">
        <is>
          <t>Live</t>
        </is>
      </c>
      <c r="F18" s="7" t="n">
        <v>1</v>
      </c>
      <c r="G18" s="7" t="inlineStr">
        <is>
          <t>Michel Tornabene</t>
        </is>
      </c>
      <c r="H18" s="7" t="inlineStr">
        <is>
          <t>Ready</t>
        </is>
      </c>
      <c r="I18" s="7" t="inlineStr"/>
      <c r="J18" s="7" t="inlineStr"/>
      <c r="K18" s="7" t="inlineStr">
        <is>
          <t>Q4 Plan</t>
        </is>
      </c>
    </row>
    <row r="19">
      <c r="A19" s="7" t="inlineStr">
        <is>
          <t>Land (Days 1–14)</t>
        </is>
      </c>
      <c r="B19" s="7" t="n">
        <v>2</v>
      </c>
      <c r="C19" s="7" t="inlineStr">
        <is>
          <t>Territory planning (STP), Rules of Engagement &amp; Incentive Ratings</t>
        </is>
      </c>
      <c r="D19" s="7" t="inlineStr">
        <is>
          <t>Tools &amp; Process</t>
        </is>
      </c>
      <c r="E19" s="7" t="inlineStr">
        <is>
          <t>Live</t>
        </is>
      </c>
      <c r="F19" s="7" t="n">
        <v>1</v>
      </c>
      <c r="G19" s="7" t="inlineStr">
        <is>
          <t>Francesco Falcone</t>
        </is>
      </c>
      <c r="H19" s="7" t="inlineStr">
        <is>
          <t>Ready</t>
        </is>
      </c>
      <c r="I19" s="7" t="inlineStr"/>
      <c r="J19" s="7" t="inlineStr">
        <is>
          <t>Must be live and finished by the end of Week 2. Francesco asked for this ASAP, early Week 3 at the latest.</t>
        </is>
      </c>
      <c r="K19" s="7" t="inlineStr">
        <is>
          <t>Q4 Plan</t>
        </is>
      </c>
    </row>
    <row r="20">
      <c r="A20" s="7" t="inlineStr">
        <is>
          <t>Land (Days 1–14)</t>
        </is>
      </c>
      <c r="B20" s="7" t="n">
        <v>2</v>
      </c>
      <c r="C20" s="7" t="inlineStr">
        <is>
          <t>Salesforce, Clari &amp; pipeline hygiene</t>
        </is>
      </c>
      <c r="D20" s="7" t="inlineStr">
        <is>
          <t>Tools &amp; Process</t>
        </is>
      </c>
      <c r="E20" s="7" t="inlineStr">
        <is>
          <t>Live</t>
        </is>
      </c>
      <c r="F20" s="7" t="n">
        <v>1</v>
      </c>
      <c r="G20" s="7" t="inlineStr">
        <is>
          <t>Francesco Falcone</t>
        </is>
      </c>
      <c r="H20" s="7" t="inlineStr">
        <is>
          <t>Ready</t>
        </is>
      </c>
      <c r="I20" s="7" t="inlineStr"/>
      <c r="J20" s="7" t="inlineStr"/>
      <c r="K20" s="7" t="inlineStr">
        <is>
          <t>Q4 Plan</t>
        </is>
      </c>
    </row>
    <row r="21">
      <c r="A21" s="7" t="inlineStr">
        <is>
          <t>Land (Days 1–14)</t>
        </is>
      </c>
      <c r="B21" s="7" t="n">
        <v>2</v>
      </c>
      <c r="C21" s="7" t="inlineStr">
        <is>
          <t>AI in Commercial</t>
        </is>
      </c>
      <c r="D21" s="7" t="inlineStr">
        <is>
          <t>Tools &amp; Process</t>
        </is>
      </c>
      <c r="E21" s="7" t="inlineStr">
        <is>
          <t>Live</t>
        </is>
      </c>
      <c r="F21" s="7" t="n">
        <v>1</v>
      </c>
      <c r="G21" s="7" t="inlineStr">
        <is>
          <t>Molly McKenna</t>
        </is>
      </c>
      <c r="H21" s="7" t="inlineStr">
        <is>
          <t>Ready</t>
        </is>
      </c>
      <c r="I21" s="7" t="inlineStr"/>
      <c r="J21" s="7" t="inlineStr"/>
      <c r="K21" s="7" t="inlineStr">
        <is>
          <t>Q4 Plan</t>
        </is>
      </c>
    </row>
    <row r="22">
      <c r="A22" s="7" t="inlineStr">
        <is>
          <t>Land (Days 1–14)</t>
        </is>
      </c>
      <c r="B22" s="7" t="n">
        <v>2</v>
      </c>
      <c r="C22" s="7" t="inlineStr">
        <is>
          <t>Meet the team: Sales, AM, Financial Partnerships, Partnerships, SE, RevOps</t>
        </is>
      </c>
      <c r="D22" s="7" t="inlineStr">
        <is>
          <t>People &amp; Network</t>
        </is>
      </c>
      <c r="E22" s="7" t="inlineStr">
        <is>
          <t>Live</t>
        </is>
      </c>
      <c r="F22" s="7" t="n">
        <v>3</v>
      </c>
      <c r="G22" s="7" t="inlineStr">
        <is>
          <t>Team leads</t>
        </is>
      </c>
      <c r="H22" s="7" t="inlineStr">
        <is>
          <t>Ready</t>
        </is>
      </c>
      <c r="I22" s="7" t="inlineStr"/>
      <c r="J22" s="7" t="inlineStr">
        <is>
          <t>Six 30-minute intros, using the prioritised Who-to-Meet list from the NY repository.</t>
        </is>
      </c>
      <c r="K22" s="7" t="inlineStr">
        <is>
          <t>NY Repository</t>
        </is>
      </c>
    </row>
    <row r="23">
      <c r="A23" s="7" t="inlineStr">
        <is>
          <t>Land (Days 1–14)</t>
        </is>
      </c>
      <c r="B23" s="7" t="n">
        <v>2</v>
      </c>
      <c r="C23" s="7" t="inlineStr">
        <is>
          <t>Payments Academy: Foundations modules 1–5</t>
        </is>
      </c>
      <c r="D23" s="7" t="inlineStr">
        <is>
          <t>Payments &amp; Product</t>
        </is>
      </c>
      <c r="E23" s="7" t="inlineStr">
        <is>
          <t>Self-paced</t>
        </is>
      </c>
      <c r="F23" s="7" t="n">
        <v>2.5</v>
      </c>
      <c r="G23" s="7" t="inlineStr">
        <is>
          <t>Self-directed</t>
        </is>
      </c>
      <c r="H23" s="7" t="inlineStr">
        <is>
          <t>Refresh</t>
        </is>
      </c>
      <c r="I23" s="7" t="inlineStr"/>
      <c r="J23" s="7" t="inlineStr">
        <is>
          <t>Moved from Day 2 to Week 2 and paced at about 30 minutes a day, after the 60-minute primer, with a Friday live debrief.</t>
        </is>
      </c>
      <c r="K23" s="7" t="inlineStr">
        <is>
          <t>Q4 Plan</t>
        </is>
      </c>
    </row>
    <row r="24">
      <c r="A24" s="7" t="inlineStr">
        <is>
          <t>Land (Days 1–14)</t>
        </is>
      </c>
      <c r="B24" s="7" t="n">
        <v>2</v>
      </c>
      <c r="C24" s="7" t="inlineStr">
        <is>
          <t>RevWay 2–3: DEPTH Selling &amp; Managing Pipeline</t>
        </is>
      </c>
      <c r="D24" s="7" t="inlineStr">
        <is>
          <t>Sales Skills</t>
        </is>
      </c>
      <c r="E24" s="7" t="inlineStr">
        <is>
          <t>Self-paced</t>
        </is>
      </c>
      <c r="F24" s="7" t="n">
        <v>2.5</v>
      </c>
      <c r="G24" s="7" t="inlineStr">
        <is>
          <t>Self-directed</t>
        </is>
      </c>
      <c r="H24" s="7" t="inlineStr">
        <is>
          <t>Ready</t>
        </is>
      </c>
      <c r="I24" s="7" t="inlineStr"/>
      <c r="J24" s="7" t="inlineStr"/>
      <c r="K24" s="7" t="inlineStr">
        <is>
          <t>Q4 Plan</t>
        </is>
      </c>
    </row>
    <row r="25">
      <c r="A25" s="7" t="inlineStr">
        <is>
          <t>Land (Days 1–14)</t>
        </is>
      </c>
      <c r="B25" s="7" t="n">
        <v>2</v>
      </c>
      <c r="C25" s="7" t="inlineStr">
        <is>
          <t>Friday knowledge check (Kahoot, pod leads join), runs weekly</t>
        </is>
      </c>
      <c r="D25" s="7" t="inlineStr">
        <is>
          <t>Payments &amp; Product</t>
        </is>
      </c>
      <c r="E25" s="7" t="inlineStr">
        <is>
          <t>Practice</t>
        </is>
      </c>
      <c r="F25" s="7" t="n">
        <v>0.5</v>
      </c>
      <c r="G25" s="7" t="inlineStr">
        <is>
          <t>Enablement + pod leads</t>
        </is>
      </c>
      <c r="H25" s="7" t="inlineStr">
        <is>
          <t>Ready</t>
        </is>
      </c>
      <c r="I25" s="7" t="inlineStr"/>
      <c r="J25" s="7" t="inlineStr"/>
      <c r="K25" s="7" t="inlineStr">
        <is>
          <t>Q4 Plan</t>
        </is>
      </c>
    </row>
    <row r="26">
      <c r="A26" s="7" t="inlineStr">
        <is>
          <t>Learn (Days 15–30)</t>
        </is>
      </c>
      <c r="B26" s="7" t="n">
        <v>3</v>
      </c>
      <c r="C26" s="7" t="inlineStr">
        <is>
          <t>Payments Academy: Foundations 6–10 + live debrief</t>
        </is>
      </c>
      <c r="D26" s="7" t="inlineStr">
        <is>
          <t>Payments &amp; Product</t>
        </is>
      </c>
      <c r="E26" s="7" t="inlineStr">
        <is>
          <t>Self-paced</t>
        </is>
      </c>
      <c r="F26" s="7" t="n">
        <v>3</v>
      </c>
      <c r="G26" s="7" t="inlineStr">
        <is>
          <t>Enablement</t>
        </is>
      </c>
      <c r="H26" s="7" t="inlineStr">
        <is>
          <t>Refresh</t>
        </is>
      </c>
      <c r="I26" s="7" t="inlineStr"/>
      <c r="J26" s="7" t="inlineStr">
        <is>
          <t>Finish the Foundations here, not in Week 1. The debrief turns the modules into talk-tracks.</t>
        </is>
      </c>
      <c r="K26" s="7" t="inlineStr">
        <is>
          <t>Q4 Plan</t>
        </is>
      </c>
    </row>
    <row r="27">
      <c r="A27" s="7" t="inlineStr">
        <is>
          <t>Learn (Days 15–30)</t>
        </is>
      </c>
      <c r="B27" s="7" t="n">
        <v>3</v>
      </c>
      <c r="C27" s="7" t="inlineStr">
        <is>
          <t>Product Foundations: Connect &amp; Move</t>
        </is>
      </c>
      <c r="D27" s="7" t="inlineStr">
        <is>
          <t>Payments &amp; Product</t>
        </is>
      </c>
      <c r="E27" s="7" t="inlineStr">
        <is>
          <t>Self-paced</t>
        </is>
      </c>
      <c r="F27" s="7" t="n">
        <v>2</v>
      </c>
      <c r="G27" s="7" t="inlineStr">
        <is>
          <t>Self-directed</t>
        </is>
      </c>
      <c r="H27" s="7" t="inlineStr">
        <is>
          <t>Ready</t>
        </is>
      </c>
      <c r="I27" s="7" t="inlineStr"/>
      <c r="J27" s="7" t="inlineStr"/>
      <c r="K27" s="7" t="inlineStr">
        <is>
          <t>Karlie Tracker</t>
        </is>
      </c>
    </row>
    <row r="28">
      <c r="A28" s="7" t="inlineStr">
        <is>
          <t>Learn (Days 15–30)</t>
        </is>
      </c>
      <c r="B28" s="7" t="n">
        <v>3</v>
      </c>
      <c r="C28" s="7" t="inlineStr">
        <is>
          <t>Pillars in live deals: Connect &amp; Move (30 min each)</t>
        </is>
      </c>
      <c r="D28" s="7" t="inlineStr">
        <is>
          <t>Payments &amp; Product</t>
        </is>
      </c>
      <c r="E28" s="7" t="inlineStr">
        <is>
          <t>Live</t>
        </is>
      </c>
      <c r="F28" s="7" t="n">
        <v>1</v>
      </c>
      <c r="G28" s="7" t="inlineStr">
        <is>
          <t>Pod leads</t>
        </is>
      </c>
      <c r="H28" s="7" t="inlineStr">
        <is>
          <t>Refresh</t>
        </is>
      </c>
      <c r="I28" s="7" t="inlineStr"/>
      <c r="J28" s="7" t="inlineStr">
        <is>
          <t>Replace the generic 'sales perspective' sessions with 30-minute walk-throughs of live deals, built on a vertical use case (Francesco's feedback).</t>
        </is>
      </c>
      <c r="K28" s="7" t="inlineStr">
        <is>
          <t>Q4 Plan</t>
        </is>
      </c>
    </row>
    <row r="29">
      <c r="A29" s="7" t="inlineStr">
        <is>
          <t>Learn (Days 15–30)</t>
        </is>
      </c>
      <c r="B29" s="7" t="n">
        <v>3</v>
      </c>
      <c r="C29" s="7" t="inlineStr">
        <is>
          <t>International Outlook: acquiring set-ups &amp; cross-border</t>
        </is>
      </c>
      <c r="D29" s="7" t="inlineStr">
        <is>
          <t>Payments &amp; Product</t>
        </is>
      </c>
      <c r="E29" s="7" t="inlineStr">
        <is>
          <t>Live</t>
        </is>
      </c>
      <c r="F29" s="7" t="n">
        <v>0.75</v>
      </c>
      <c r="G29" s="7" t="inlineStr">
        <is>
          <t>Michel Tornabene</t>
        </is>
      </c>
      <c r="H29" s="7" t="inlineStr">
        <is>
          <t>Ready</t>
        </is>
      </c>
      <c r="I29" s="7" t="inlineStr"/>
      <c r="J29" s="7" t="inlineStr"/>
      <c r="K29" s="7" t="inlineStr">
        <is>
          <t>Q4 Plan</t>
        </is>
      </c>
    </row>
    <row r="30">
      <c r="A30" s="7" t="inlineStr">
        <is>
          <t>Learn (Days 15–30)</t>
        </is>
      </c>
      <c r="B30" s="7" t="n">
        <v>3</v>
      </c>
      <c r="C30" s="7" t="inlineStr">
        <is>
          <t>Commercial Risk</t>
        </is>
      </c>
      <c r="D30" s="7" t="inlineStr">
        <is>
          <t>Payments &amp; Product</t>
        </is>
      </c>
      <c r="E30" s="7" t="inlineStr">
        <is>
          <t>Live</t>
        </is>
      </c>
      <c r="F30" s="7" t="n">
        <v>0.5</v>
      </c>
      <c r="G30" s="7" t="inlineStr">
        <is>
          <t>Michel Tornabene</t>
        </is>
      </c>
      <c r="H30" s="7" t="inlineStr">
        <is>
          <t>Ready</t>
        </is>
      </c>
      <c r="I30" s="7" t="inlineStr"/>
      <c r="J30" s="7" t="inlineStr"/>
      <c r="K30" s="7" t="inlineStr">
        <is>
          <t>Karlie Tracker</t>
        </is>
      </c>
    </row>
    <row r="31">
      <c r="A31" s="7" t="inlineStr">
        <is>
          <t>Learn (Days 15–30)</t>
        </is>
      </c>
      <c r="B31" s="7" t="n">
        <v>3</v>
      </c>
      <c r="C31" s="7" t="inlineStr">
        <is>
          <t>Intro to NORAM verticals &amp; where we win</t>
        </is>
      </c>
      <c r="D31" s="7" t="inlineStr">
        <is>
          <t>Payments &amp; Product</t>
        </is>
      </c>
      <c r="E31" s="7" t="inlineStr">
        <is>
          <t>Live</t>
        </is>
      </c>
      <c r="F31" s="7" t="n">
        <v>0.75</v>
      </c>
      <c r="G31" s="7" t="inlineStr">
        <is>
          <t>Francesco Falcone</t>
        </is>
      </c>
      <c r="H31" s="7" t="inlineStr">
        <is>
          <t>Ready</t>
        </is>
      </c>
      <c r="I31" s="7" t="inlineStr"/>
      <c r="J31" s="7" t="inlineStr">
        <is>
          <t>Pair this with the North America Vertical List in the NY repository.</t>
        </is>
      </c>
      <c r="K31" s="7" t="inlineStr">
        <is>
          <t>Q4 Plan</t>
        </is>
      </c>
    </row>
    <row r="32">
      <c r="A32" s="7" t="inlineStr">
        <is>
          <t>Learn (Days 15–30)</t>
        </is>
      </c>
      <c r="B32" s="7" t="n">
        <v>3</v>
      </c>
      <c r="C32" s="7" t="inlineStr">
        <is>
          <t>Weekly call-review hour begins (Clari gametapes)</t>
        </is>
      </c>
      <c r="D32" s="7" t="inlineStr">
        <is>
          <t>Sales Skills</t>
        </is>
      </c>
      <c r="E32" s="7" t="inlineStr">
        <is>
          <t>Practice</t>
        </is>
      </c>
      <c r="F32" s="7" t="n">
        <v>1</v>
      </c>
      <c r="G32" s="7" t="inlineStr">
        <is>
          <t>Jim Cho + Francesco Falcone</t>
        </is>
      </c>
      <c r="H32" s="7" t="inlineStr">
        <is>
          <t>Ready</t>
        </is>
      </c>
      <c r="I32" s="7" t="inlineStr"/>
      <c r="J32" s="7" t="inlineStr">
        <is>
          <t>Starts in Week 3, not Week 1, then runs weekly (Francesco's feedback).</t>
        </is>
      </c>
      <c r="K32" s="7" t="inlineStr">
        <is>
          <t>Q4 Plan</t>
        </is>
      </c>
    </row>
    <row r="33">
      <c r="A33" s="7" t="inlineStr">
        <is>
          <t>Learn (Days 15–30)</t>
        </is>
      </c>
      <c r="B33" s="7" t="n">
        <v>3</v>
      </c>
      <c r="C33" s="7" t="inlineStr">
        <is>
          <t>Outreach lab: openers, email personalisation &amp; gatekeepers</t>
        </is>
      </c>
      <c r="D33" s="7" t="inlineStr">
        <is>
          <t>Sales Skills</t>
        </is>
      </c>
      <c r="E33" s="7" t="inlineStr">
        <is>
          <t>Live</t>
        </is>
      </c>
      <c r="F33" s="7" t="n">
        <v>2</v>
      </c>
      <c r="G33" s="7" t="inlineStr">
        <is>
          <t>J.J. Henry</t>
        </is>
      </c>
      <c r="H33" s="7" t="inlineStr">
        <is>
          <t>Ready</t>
        </is>
      </c>
      <c r="I33" s="7" t="inlineStr"/>
      <c r="J33" s="7" t="inlineStr"/>
      <c r="K33" s="7" t="inlineStr">
        <is>
          <t>Karlie Tracker</t>
        </is>
      </c>
    </row>
    <row r="34">
      <c r="A34" s="7" t="inlineStr">
        <is>
          <t>Learn (Days 15–30)</t>
        </is>
      </c>
      <c r="B34" s="7" t="n">
        <v>4</v>
      </c>
      <c r="C34" s="7" t="inlineStr">
        <is>
          <t>Product Foundations: Protect, Boost &amp; Manage</t>
        </is>
      </c>
      <c r="D34" s="7" t="inlineStr">
        <is>
          <t>Payments &amp; Product</t>
        </is>
      </c>
      <c r="E34" s="7" t="inlineStr">
        <is>
          <t>Self-paced</t>
        </is>
      </c>
      <c r="F34" s="7" t="n">
        <v>2.5</v>
      </c>
      <c r="G34" s="7" t="inlineStr">
        <is>
          <t>Self-directed</t>
        </is>
      </c>
      <c r="H34" s="7" t="inlineStr">
        <is>
          <t>Ready</t>
        </is>
      </c>
      <c r="I34" s="7" t="inlineStr"/>
      <c r="J34" s="7" t="inlineStr"/>
      <c r="K34" s="7" t="inlineStr">
        <is>
          <t>Karlie Tracker</t>
        </is>
      </c>
    </row>
    <row r="35">
      <c r="A35" s="7" t="inlineStr">
        <is>
          <t>Learn (Days 15–30)</t>
        </is>
      </c>
      <c r="B35" s="7" t="n">
        <v>4</v>
      </c>
      <c r="C35" s="7" t="inlineStr">
        <is>
          <t>Pillars in live deals: Protect, Boost &amp; Manage</t>
        </is>
      </c>
      <c r="D35" s="7" t="inlineStr">
        <is>
          <t>Payments &amp; Product</t>
        </is>
      </c>
      <c r="E35" s="7" t="inlineStr">
        <is>
          <t>Live</t>
        </is>
      </c>
      <c r="F35" s="7" t="n">
        <v>1</v>
      </c>
      <c r="G35" s="7" t="inlineStr">
        <is>
          <t>Pod leads</t>
        </is>
      </c>
      <c r="H35" s="7" t="inlineStr">
        <is>
          <t>Refresh</t>
        </is>
      </c>
      <c r="I35" s="7" t="inlineStr"/>
      <c r="J35" s="7" t="inlineStr">
        <is>
          <t>Same 30-minute live-deal format as Week 3.</t>
        </is>
      </c>
      <c r="K35" s="7" t="inlineStr">
        <is>
          <t>Q4 Plan</t>
        </is>
      </c>
    </row>
    <row r="36">
      <c r="A36" s="7" t="inlineStr">
        <is>
          <t>Learn (Days 15–30)</t>
        </is>
      </c>
      <c r="B36" s="7" t="n">
        <v>4</v>
      </c>
      <c r="C36" s="7" t="inlineStr">
        <is>
          <t>Payment Performance AMA (Boost)</t>
        </is>
      </c>
      <c r="D36" s="7" t="inlineStr">
        <is>
          <t>Payments &amp; Product</t>
        </is>
      </c>
      <c r="E36" s="7" t="inlineStr">
        <is>
          <t>Live</t>
        </is>
      </c>
      <c r="F36" s="7" t="n">
        <v>1</v>
      </c>
      <c r="G36" s="7" t="inlineStr">
        <is>
          <t>Daniel Linder</t>
        </is>
      </c>
      <c r="H36" s="7" t="inlineStr">
        <is>
          <t>Ready</t>
        </is>
      </c>
      <c r="I36" s="7" t="inlineStr"/>
      <c r="J36" s="7" t="inlineStr">
        <is>
          <t>Focus on Boost, Daniel's pillar.</t>
        </is>
      </c>
      <c r="K36" s="7" t="inlineStr">
        <is>
          <t>Q4 Plan</t>
        </is>
      </c>
    </row>
    <row r="37">
      <c r="A37" s="7" t="inlineStr">
        <is>
          <t>Learn (Days 15–30)</t>
        </is>
      </c>
      <c r="B37" s="7" t="n">
        <v>4</v>
      </c>
      <c r="C37" s="7" t="inlineStr">
        <is>
          <t>Account list review: your Top 70</t>
        </is>
      </c>
      <c r="D37" s="7" t="inlineStr">
        <is>
          <t>Sales Skills</t>
        </is>
      </c>
      <c r="E37" s="7" t="inlineStr">
        <is>
          <t>Practice</t>
        </is>
      </c>
      <c r="F37" s="7" t="n">
        <v>1</v>
      </c>
      <c r="G37" s="7" t="inlineStr">
        <is>
          <t>Line manager</t>
        </is>
      </c>
      <c r="H37" s="7" t="inlineStr">
        <is>
          <t>Ready</t>
        </is>
      </c>
      <c r="I37" s="7" t="inlineStr"/>
      <c r="J37" s="7" t="inlineStr"/>
      <c r="K37" s="7" t="inlineStr">
        <is>
          <t>Karlie Tracker</t>
        </is>
      </c>
    </row>
    <row r="38">
      <c r="A38" s="7" t="inlineStr">
        <is>
          <t>Learn (Days 15–30)</t>
        </is>
      </c>
      <c r="B38" s="7" t="n">
        <v>4</v>
      </c>
      <c r="C38" s="7" t="inlineStr">
        <is>
          <t>RevWay 4–5: Discovery &amp; Explore phases</t>
        </is>
      </c>
      <c r="D38" s="7" t="inlineStr">
        <is>
          <t>Sales Skills</t>
        </is>
      </c>
      <c r="E38" s="7" t="inlineStr">
        <is>
          <t>Self-paced</t>
        </is>
      </c>
      <c r="F38" s="7" t="n">
        <v>2.5</v>
      </c>
      <c r="G38" s="7" t="inlineStr">
        <is>
          <t>Self-directed</t>
        </is>
      </c>
      <c r="H38" s="7" t="inlineStr">
        <is>
          <t>Ready</t>
        </is>
      </c>
      <c r="I38" s="7" t="inlineStr"/>
      <c r="J38" s="7" t="inlineStr"/>
      <c r="K38" s="7" t="inlineStr">
        <is>
          <t>Q4 Plan</t>
        </is>
      </c>
    </row>
    <row r="39">
      <c r="A39" s="7" t="inlineStr">
        <is>
          <t>Learn (Days 15–30)</t>
        </is>
      </c>
      <c r="B39" s="7" t="n">
        <v>4</v>
      </c>
      <c r="C39" s="7" t="inlineStr">
        <is>
          <t>Cold-call role play</t>
        </is>
      </c>
      <c r="D39" s="7" t="inlineStr">
        <is>
          <t>Sales Skills</t>
        </is>
      </c>
      <c r="E39" s="7" t="inlineStr">
        <is>
          <t>Practice</t>
        </is>
      </c>
      <c r="F39" s="7" t="n">
        <v>0.5</v>
      </c>
      <c r="G39" s="7" t="inlineStr">
        <is>
          <t>J.J. Henry</t>
        </is>
      </c>
      <c r="H39" s="7" t="inlineStr">
        <is>
          <t>Ready</t>
        </is>
      </c>
      <c r="I39" s="7" t="inlineStr"/>
      <c r="J39" s="7" t="inlineStr"/>
      <c r="K39" s="7" t="inlineStr">
        <is>
          <t>Karlie Tracker</t>
        </is>
      </c>
    </row>
    <row r="40">
      <c r="A40" s="7" t="inlineStr">
        <is>
          <t>Learn (Days 15–30)</t>
        </is>
      </c>
      <c r="B40" s="7" t="n">
        <v>4</v>
      </c>
      <c r="C40" s="7" t="inlineStr">
        <is>
          <t>Day 30 Checkpoint: elevator pitch + five-pillar knowledge check</t>
        </is>
      </c>
      <c r="D40" s="7" t="inlineStr">
        <is>
          <t>Certification</t>
        </is>
      </c>
      <c r="E40" s="7" t="inlineStr">
        <is>
          <t>Certification</t>
        </is>
      </c>
      <c r="F40" s="7" t="n">
        <v>1</v>
      </c>
      <c r="G40" s="7" t="inlineStr">
        <is>
          <t>Line manager + Enablement</t>
        </is>
      </c>
      <c r="H40" s="7" t="inlineStr">
        <is>
          <t>Refresh</t>
        </is>
      </c>
      <c r="I40" s="7" t="inlineStr">
        <is>
          <t>Day 30</t>
        </is>
      </c>
      <c r="J40" s="7" t="inlineStr">
        <is>
          <t>Combine today's elevator-pitch reviews and pillar Kahoots into one recorded gate.</t>
        </is>
      </c>
      <c r="K40" s="7" t="inlineStr">
        <is>
          <t>Karlie Tracker</t>
        </is>
      </c>
    </row>
    <row r="41">
      <c r="A41" s="7" t="inlineStr">
        <is>
          <t>Practice (Days 31–60)</t>
        </is>
      </c>
      <c r="B41" s="7" t="n">
        <v>5</v>
      </c>
      <c r="C41" s="7" t="inlineStr">
        <is>
          <t>Vertical deep dives: Digital Content and Ecommerce</t>
        </is>
      </c>
      <c r="D41" s="7" t="inlineStr">
        <is>
          <t>Payments &amp; Product</t>
        </is>
      </c>
      <c r="E41" s="7" t="inlineStr">
        <is>
          <t>Live</t>
        </is>
      </c>
      <c r="F41" s="7" t="n">
        <v>1.5</v>
      </c>
      <c r="G41" s="7" t="inlineStr">
        <is>
          <t>Jules Gay / Katie Wile</t>
        </is>
      </c>
      <c r="H41" s="7" t="inlineStr">
        <is>
          <t>Ready</t>
        </is>
      </c>
      <c r="I41" s="7" t="inlineStr"/>
      <c r="J41" s="7" t="inlineStr"/>
      <c r="K41" s="7" t="inlineStr">
        <is>
          <t>Q4 Plan</t>
        </is>
      </c>
    </row>
    <row r="42">
      <c r="A42" s="7" t="inlineStr">
        <is>
          <t>Practice (Days 31–60)</t>
        </is>
      </c>
      <c r="B42" s="7" t="n">
        <v>5</v>
      </c>
      <c r="C42" s="7" t="inlineStr">
        <is>
          <t>Vertical deep dives: Neobank &amp; Remittance (AFT/OCT), Consumer Lending &amp; Proptech</t>
        </is>
      </c>
      <c r="D42" s="7" t="inlineStr">
        <is>
          <t>Payments &amp; Product</t>
        </is>
      </c>
      <c r="E42" s="7" t="inlineStr">
        <is>
          <t>Live</t>
        </is>
      </c>
      <c r="F42" s="7" t="n">
        <v>1.5</v>
      </c>
      <c r="G42" s="7" t="inlineStr">
        <is>
          <t>Olivia Smith / Octavio Balcazar</t>
        </is>
      </c>
      <c r="H42" s="7" t="inlineStr">
        <is>
          <t>Ready</t>
        </is>
      </c>
      <c r="I42" s="7" t="inlineStr"/>
      <c r="J42" s="7" t="inlineStr"/>
      <c r="K42" s="7" t="inlineStr">
        <is>
          <t>Q4 Plan</t>
        </is>
      </c>
    </row>
    <row r="43">
      <c r="A43" s="7" t="inlineStr">
        <is>
          <t>Practice (Days 31–60)</t>
        </is>
      </c>
      <c r="B43" s="7" t="n">
        <v>5</v>
      </c>
      <c r="C43" s="7" t="inlineStr">
        <is>
          <t>Intro to Deal Management &amp; Deal Desk</t>
        </is>
      </c>
      <c r="D43" s="7" t="inlineStr">
        <is>
          <t>Tools &amp; Process</t>
        </is>
      </c>
      <c r="E43" s="7" t="inlineStr">
        <is>
          <t>Live</t>
        </is>
      </c>
      <c r="F43" s="7" t="n">
        <v>0.5</v>
      </c>
      <c r="G43" s="7" t="inlineStr">
        <is>
          <t>Faith Bergman</t>
        </is>
      </c>
      <c r="H43" s="7" t="inlineStr">
        <is>
          <t>Ready</t>
        </is>
      </c>
      <c r="I43" s="7" t="inlineStr"/>
      <c r="J43" s="7" t="inlineStr"/>
      <c r="K43" s="7" t="inlineStr">
        <is>
          <t>Karlie Tracker</t>
        </is>
      </c>
    </row>
    <row r="44">
      <c r="A44" s="7" t="inlineStr">
        <is>
          <t>Practice (Days 31–60)</t>
        </is>
      </c>
      <c r="B44" s="7" t="n">
        <v>5</v>
      </c>
      <c r="C44" s="7" t="inlineStr">
        <is>
          <t>Partner ecosystem: who we sell with and how</t>
        </is>
      </c>
      <c r="D44" s="7" t="inlineStr">
        <is>
          <t>Payments &amp; Product</t>
        </is>
      </c>
      <c r="E44" s="7" t="inlineStr">
        <is>
          <t>Live</t>
        </is>
      </c>
      <c r="F44" s="7" t="n">
        <v>1</v>
      </c>
      <c r="G44" s="7" t="inlineStr">
        <is>
          <t>Jim Cho / Francesco Falcone / Jaime Yeager</t>
        </is>
      </c>
      <c r="H44" s="7" t="inlineStr">
        <is>
          <t>Ready</t>
        </is>
      </c>
      <c r="I44" s="7" t="inlineStr"/>
      <c r="J44" s="7" t="inlineStr"/>
      <c r="K44" s="7" t="inlineStr">
        <is>
          <t>Q4 Plan</t>
        </is>
      </c>
    </row>
    <row r="45">
      <c r="A45" s="7" t="inlineStr">
        <is>
          <t>Practice (Days 31–60)</t>
        </is>
      </c>
      <c r="B45" s="7" t="n">
        <v>5</v>
      </c>
      <c r="C45" s="7" t="inlineStr">
        <is>
          <t>Build your prospecting cadence (Apollo)</t>
        </is>
      </c>
      <c r="D45" s="7" t="inlineStr">
        <is>
          <t>Sales Skills</t>
        </is>
      </c>
      <c r="E45" s="7" t="inlineStr">
        <is>
          <t>Practice</t>
        </is>
      </c>
      <c r="F45" s="7" t="n">
        <v>0.5</v>
      </c>
      <c r="G45" s="7" t="inlineStr">
        <is>
          <t>Ronak Bali</t>
        </is>
      </c>
      <c r="H45" s="7" t="inlineStr">
        <is>
          <t>Ready</t>
        </is>
      </c>
      <c r="I45" s="7" t="inlineStr"/>
      <c r="J45" s="7" t="inlineStr"/>
      <c r="K45" s="7" t="inlineStr">
        <is>
          <t>Q4 Plan</t>
        </is>
      </c>
    </row>
    <row r="46">
      <c r="A46" s="7" t="inlineStr">
        <is>
          <t>Practice (Days 31–60)</t>
        </is>
      </c>
      <c r="B46" s="7" t="n">
        <v>6</v>
      </c>
      <c r="C46" s="7" t="inlineStr">
        <is>
          <t>ISV, Marketplace &amp; MoR deep dive</t>
        </is>
      </c>
      <c r="D46" s="7" t="inlineStr">
        <is>
          <t>Payments &amp; Product</t>
        </is>
      </c>
      <c r="E46" s="7" t="inlineStr">
        <is>
          <t>Live</t>
        </is>
      </c>
      <c r="F46" s="7" t="n">
        <v>0.5</v>
      </c>
      <c r="G46" s="7" t="inlineStr">
        <is>
          <t>Michael Taylor</t>
        </is>
      </c>
      <c r="H46" s="7" t="inlineStr">
        <is>
          <t>Ready</t>
        </is>
      </c>
      <c r="I46" s="7" t="inlineStr"/>
      <c r="J46" s="7" t="inlineStr"/>
      <c r="K46" s="7" t="inlineStr">
        <is>
          <t>Q4 Plan</t>
        </is>
      </c>
    </row>
    <row r="47">
      <c r="A47" s="7" t="inlineStr">
        <is>
          <t>Practice (Days 31–60)</t>
        </is>
      </c>
      <c r="B47" s="7" t="n">
        <v>6</v>
      </c>
      <c r="C47" s="7" t="inlineStr">
        <is>
          <t>Pay to Card, Pay to Bank &amp; FX</t>
        </is>
      </c>
      <c r="D47" s="7" t="inlineStr">
        <is>
          <t>Payments &amp; Product</t>
        </is>
      </c>
      <c r="E47" s="7" t="inlineStr">
        <is>
          <t>Live</t>
        </is>
      </c>
      <c r="F47" s="7" t="n">
        <v>1</v>
      </c>
      <c r="G47" s="7" t="inlineStr">
        <is>
          <t>Olivia Smith</t>
        </is>
      </c>
      <c r="H47" s="7" t="inlineStr">
        <is>
          <t>Ready</t>
        </is>
      </c>
      <c r="I47" s="7" t="inlineStr"/>
      <c r="J47" s="7" t="inlineStr"/>
      <c r="K47" s="7" t="inlineStr">
        <is>
          <t>Q4 Plan</t>
        </is>
      </c>
    </row>
    <row r="48">
      <c r="A48" s="7" t="inlineStr">
        <is>
          <t>Practice (Days 31–60)</t>
        </is>
      </c>
      <c r="B48" s="7" t="n">
        <v>6</v>
      </c>
      <c r="C48" s="7" t="inlineStr">
        <is>
          <t>Visa Direct: AFTs &amp; card payouts</t>
        </is>
      </c>
      <c r="D48" s="7" t="inlineStr">
        <is>
          <t>Payments &amp; Product</t>
        </is>
      </c>
      <c r="E48" s="7" t="inlineStr">
        <is>
          <t>Live</t>
        </is>
      </c>
      <c r="F48" s="7" t="n">
        <v>0.5</v>
      </c>
      <c r="G48" s="7" t="inlineStr">
        <is>
          <t>Amber McClure</t>
        </is>
      </c>
      <c r="H48" s="7" t="inlineStr">
        <is>
          <t>Refresh</t>
        </is>
      </c>
      <c r="I48" s="7" t="inlineStr"/>
      <c r="J48" s="7" t="inlineStr">
        <is>
          <t>Paused while partnership terms are revamped. Bring it back when the new terms are ready.</t>
        </is>
      </c>
      <c r="K48" s="7" t="inlineStr">
        <is>
          <t>Q4 Plan</t>
        </is>
      </c>
    </row>
    <row r="49">
      <c r="A49" s="7" t="inlineStr">
        <is>
          <t>Practice (Days 31–60)</t>
        </is>
      </c>
      <c r="B49" s="7" t="n">
        <v>6</v>
      </c>
      <c r="C49" s="7" t="inlineStr">
        <is>
          <t>Technical integration &amp; merchant onboarding experience</t>
        </is>
      </c>
      <c r="D49" s="7" t="inlineStr">
        <is>
          <t>Tools &amp; Process</t>
        </is>
      </c>
      <c r="E49" s="7" t="inlineStr">
        <is>
          <t>Live</t>
        </is>
      </c>
      <c r="F49" s="7" t="n">
        <v>0.5</v>
      </c>
      <c r="G49" s="7" t="inlineStr">
        <is>
          <t>Michael Taylor + Faith Bergman</t>
        </is>
      </c>
      <c r="H49" s="7" t="inlineStr">
        <is>
          <t>Ready</t>
        </is>
      </c>
      <c r="I49" s="7" t="inlineStr"/>
      <c r="J49" s="7" t="inlineStr"/>
      <c r="K49" s="7" t="inlineStr">
        <is>
          <t>Q4 Plan</t>
        </is>
      </c>
    </row>
    <row r="50">
      <c r="A50" s="7" t="inlineStr">
        <is>
          <t>Practice (Days 31–60)</t>
        </is>
      </c>
      <c r="B50" s="7" t="n">
        <v>6</v>
      </c>
      <c r="C50" s="7" t="inlineStr">
        <is>
          <t>Underwriting overview</t>
        </is>
      </c>
      <c r="D50" s="7" t="inlineStr">
        <is>
          <t>Tools &amp; Process</t>
        </is>
      </c>
      <c r="E50" s="7" t="inlineStr">
        <is>
          <t>Live</t>
        </is>
      </c>
      <c r="F50" s="7" t="n">
        <v>1</v>
      </c>
      <c r="G50" s="7" t="inlineStr">
        <is>
          <t>Jack Pontarelli</t>
        </is>
      </c>
      <c r="H50" s="7" t="inlineStr">
        <is>
          <t>Ready</t>
        </is>
      </c>
      <c r="I50" s="7" t="inlineStr"/>
      <c r="J50" s="7" t="inlineStr"/>
      <c r="K50" s="7" t="inlineStr">
        <is>
          <t>Karlie Tracker</t>
        </is>
      </c>
    </row>
    <row r="51">
      <c r="A51" s="7" t="inlineStr">
        <is>
          <t>Practice (Days 31–60)</t>
        </is>
      </c>
      <c r="B51" s="7" t="n">
        <v>6</v>
      </c>
      <c r="C51" s="7" t="inlineStr">
        <is>
          <t>RevWay 6–7: Questioning, funnel technique &amp; listening</t>
        </is>
      </c>
      <c r="D51" s="7" t="inlineStr">
        <is>
          <t>Sales Skills</t>
        </is>
      </c>
      <c r="E51" s="7" t="inlineStr">
        <is>
          <t>Self-paced</t>
        </is>
      </c>
      <c r="F51" s="7" t="n">
        <v>3</v>
      </c>
      <c r="G51" s="7" t="inlineStr">
        <is>
          <t>Self-directed</t>
        </is>
      </c>
      <c r="H51" s="7" t="inlineStr">
        <is>
          <t>Ready</t>
        </is>
      </c>
      <c r="I51" s="7" t="inlineStr"/>
      <c r="J51" s="7" t="inlineStr"/>
      <c r="K51" s="7" t="inlineStr">
        <is>
          <t>Q4 Plan</t>
        </is>
      </c>
    </row>
    <row r="52">
      <c r="A52" s="7" t="inlineStr">
        <is>
          <t>Practice (Days 31–60)</t>
        </is>
      </c>
      <c r="B52" s="7" t="n">
        <v>7</v>
      </c>
      <c r="C52" s="7" t="inlineStr">
        <is>
          <t>Voice of the customer: Head of Payments panel</t>
        </is>
      </c>
      <c r="D52" s="7" t="inlineStr">
        <is>
          <t>Payments &amp; Product</t>
        </is>
      </c>
      <c r="E52" s="7" t="inlineStr">
        <is>
          <t>Live</t>
        </is>
      </c>
      <c r="F52" s="7" t="n">
        <v>1.5</v>
      </c>
      <c r="G52" s="7" t="inlineStr">
        <is>
          <t>Jaime Yeager / Jim Cho</t>
        </is>
      </c>
      <c r="H52" s="7" t="inlineStr">
        <is>
          <t>Build</t>
        </is>
      </c>
      <c r="I52" s="7" t="inlineStr"/>
      <c r="J52" s="7" t="inlineStr">
        <is>
          <t>Planned in both SME trackers but never scheduled. Heads of Payments share what resonated in outreach and what didn't.</t>
        </is>
      </c>
      <c r="K52" s="7" t="inlineStr">
        <is>
          <t>Q4 Plan</t>
        </is>
      </c>
    </row>
    <row r="53">
      <c r="A53" s="7" t="inlineStr">
        <is>
          <t>Practice (Days 31–60)</t>
        </is>
      </c>
      <c r="B53" s="7" t="n">
        <v>7</v>
      </c>
      <c r="C53" s="7" t="inlineStr">
        <is>
          <t>Top-rep Q&amp;A, every two weeks</t>
        </is>
      </c>
      <c r="D53" s="7" t="inlineStr">
        <is>
          <t>People &amp; Network</t>
        </is>
      </c>
      <c r="E53" s="7" t="inlineStr">
        <is>
          <t>Live</t>
        </is>
      </c>
      <c r="F53" s="7" t="n">
        <v>0.5</v>
      </c>
      <c r="G53" s="7" t="inlineStr">
        <is>
          <t>Sam Boukhiam / Louis Taupin</t>
        </is>
      </c>
      <c r="H53" s="7" t="inlineStr">
        <is>
          <t>Build</t>
        </is>
      </c>
      <c r="I53" s="7" t="inlineStr"/>
      <c r="J53" s="7" t="inlineStr">
        <is>
          <t>Planned to 'start in Month 2' but never started. Sam's notes in the Q4 plan are the starting agenda.</t>
        </is>
      </c>
      <c r="K53" s="7" t="inlineStr">
        <is>
          <t>Q4 Plan</t>
        </is>
      </c>
    </row>
    <row r="54">
      <c r="A54" s="7" t="inlineStr">
        <is>
          <t>Practice (Days 31–60)</t>
        </is>
      </c>
      <c r="B54" s="7" t="n">
        <v>7</v>
      </c>
      <c r="C54" s="7" t="inlineStr">
        <is>
          <t>Vertical deep dives: Insurance and Gaming &amp; Gambling</t>
        </is>
      </c>
      <c r="D54" s="7" t="inlineStr">
        <is>
          <t>Payments &amp; Product</t>
        </is>
      </c>
      <c r="E54" s="7" t="inlineStr">
        <is>
          <t>Live</t>
        </is>
      </c>
      <c r="F54" s="7" t="n">
        <v>1</v>
      </c>
      <c r="G54" s="7" t="inlineStr">
        <is>
          <t>Olivia Smith / Aaron Popack</t>
        </is>
      </c>
      <c r="H54" s="7" t="inlineStr">
        <is>
          <t>Refresh</t>
        </is>
      </c>
      <c r="I54" s="7" t="inlineStr"/>
      <c r="J54" s="7" t="inlineStr">
        <is>
          <t>Both on hold ('wait for now'). Run Insurance virtually first.</t>
        </is>
      </c>
      <c r="K54" s="7" t="inlineStr">
        <is>
          <t>Q4 Plan</t>
        </is>
      </c>
    </row>
    <row r="55">
      <c r="A55" s="7" t="inlineStr">
        <is>
          <t>Practice (Days 31–60)</t>
        </is>
      </c>
      <c r="B55" s="7" t="n">
        <v>7</v>
      </c>
      <c r="C55" s="7" t="inlineStr">
        <is>
          <t>Canada &amp; the Canadian market</t>
        </is>
      </c>
      <c r="D55" s="7" t="inlineStr">
        <is>
          <t>Payments &amp; Product</t>
        </is>
      </c>
      <c r="E55" s="7" t="inlineStr">
        <is>
          <t>Live</t>
        </is>
      </c>
      <c r="F55" s="7" t="n">
        <v>0.5</v>
      </c>
      <c r="G55" s="7" t="inlineStr">
        <is>
          <t>Yousef Almawy</t>
        </is>
      </c>
      <c r="H55" s="7" t="inlineStr">
        <is>
          <t>Ready</t>
        </is>
      </c>
      <c r="I55" s="7" t="inlineStr"/>
      <c r="J55" s="7" t="inlineStr"/>
      <c r="K55" s="7" t="inlineStr">
        <is>
          <t>Q4 Plan</t>
        </is>
      </c>
    </row>
    <row r="56">
      <c r="A56" s="7" t="inlineStr">
        <is>
          <t>Practice (Days 31–60)</t>
        </is>
      </c>
      <c r="B56" s="7" t="n">
        <v>7</v>
      </c>
      <c r="C56" s="7" t="inlineStr">
        <is>
          <t>Role play with your pod lead</t>
        </is>
      </c>
      <c r="D56" s="7" t="inlineStr">
        <is>
          <t>Sales Skills</t>
        </is>
      </c>
      <c r="E56" s="7" t="inlineStr">
        <is>
          <t>Practice</t>
        </is>
      </c>
      <c r="F56" s="7" t="n">
        <v>0.5</v>
      </c>
      <c r="G56" s="7" t="inlineStr">
        <is>
          <t>Pod leads</t>
        </is>
      </c>
      <c r="H56" s="7" t="inlineStr">
        <is>
          <t>Ready</t>
        </is>
      </c>
      <c r="I56" s="7" t="inlineStr"/>
      <c r="J56" s="7" t="inlineStr"/>
      <c r="K56" s="7" t="inlineStr">
        <is>
          <t>Q4 Plan</t>
        </is>
      </c>
    </row>
    <row r="57">
      <c r="A57" s="7" t="inlineStr">
        <is>
          <t>Practice (Days 31–60)</t>
        </is>
      </c>
      <c r="B57" s="7" t="n">
        <v>8</v>
      </c>
      <c r="C57" s="7" t="inlineStr">
        <is>
          <t>Competitive deal clinic + refreshed battlecards</t>
        </is>
      </c>
      <c r="D57" s="7" t="inlineStr">
        <is>
          <t>Sales Skills</t>
        </is>
      </c>
      <c r="E57" s="7" t="inlineStr">
        <is>
          <t>Live</t>
        </is>
      </c>
      <c r="F57" s="7" t="n">
        <v>1</v>
      </c>
      <c r="G57" s="7" t="inlineStr">
        <is>
          <t>Jim Cho</t>
        </is>
      </c>
      <c r="H57" s="7" t="inlineStr">
        <is>
          <t>Refresh</t>
        </is>
      </c>
      <c r="I57" s="7" t="inlineStr"/>
      <c r="J57" s="7" t="inlineStr">
        <is>
          <t>The 'Why Checkout Wins' battlecard is flagged as outdated. Release refreshed battlecards with this session.</t>
        </is>
      </c>
      <c r="K57" s="7" t="inlineStr">
        <is>
          <t>NY Repository</t>
        </is>
      </c>
    </row>
    <row r="58">
      <c r="A58" s="7" t="inlineStr">
        <is>
          <t>Practice (Days 31–60)</t>
        </is>
      </c>
      <c r="B58" s="7" t="n">
        <v>8</v>
      </c>
      <c r="C58" s="7" t="inlineStr">
        <is>
          <t>Payment performance metrics that matter (auth rates, declines, tokens, cost)</t>
        </is>
      </c>
      <c r="D58" s="7" t="inlineStr">
        <is>
          <t>Payments &amp; Product</t>
        </is>
      </c>
      <c r="E58" s="7" t="inlineStr">
        <is>
          <t>Live</t>
        </is>
      </c>
      <c r="F58" s="7" t="n">
        <v>1</v>
      </c>
      <c r="G58" s="7" t="inlineStr">
        <is>
          <t>Solutions Engineering + Product</t>
        </is>
      </c>
      <c r="H58" s="7" t="inlineStr">
        <is>
          <t>Build</t>
        </is>
      </c>
      <c r="I58" s="7" t="inlineStr"/>
      <c r="J58" s="7" t="inlineStr">
        <is>
          <t>The numbers an AE has to quantify in discovery. Builds on the Decline Code and PPA cheat sheets.</t>
        </is>
      </c>
      <c r="K58" s="7" t="inlineStr">
        <is>
          <t>New</t>
        </is>
      </c>
    </row>
    <row r="59">
      <c r="A59" s="7" t="inlineStr">
        <is>
          <t>Practice (Days 31–60)</t>
        </is>
      </c>
      <c r="B59" s="7" t="n">
        <v>8</v>
      </c>
      <c r="C59" s="7" t="inlineStr">
        <is>
          <t>Explore call gametapes: what great sounds like</t>
        </is>
      </c>
      <c r="D59" s="7" t="inlineStr">
        <is>
          <t>Sales Skills</t>
        </is>
      </c>
      <c r="E59" s="7" t="inlineStr">
        <is>
          <t>Practice</t>
        </is>
      </c>
      <c r="F59" s="7" t="n">
        <v>1</v>
      </c>
      <c r="G59" s="7" t="inlineStr">
        <is>
          <t>Jim Cho + Francesco Falcone</t>
        </is>
      </c>
      <c r="H59" s="7" t="inlineStr">
        <is>
          <t>Refresh</t>
        </is>
      </c>
      <c r="I59" s="7" t="inlineStr"/>
      <c r="J59" s="7" t="inlineStr">
        <is>
          <t>Curate an Explore-only playlist in the Clari USA call repo, with timestamps to listen for.</t>
        </is>
      </c>
      <c r="K59" s="7" t="inlineStr">
        <is>
          <t>NY Repository</t>
        </is>
      </c>
    </row>
    <row r="60">
      <c r="A60" s="7" t="inlineStr">
        <is>
          <t>Practice (Days 31–60)</t>
        </is>
      </c>
      <c r="B60" s="7" t="n">
        <v>9</v>
      </c>
      <c r="C60" s="7" t="inlineStr">
        <is>
          <t>Explore Call Masterclass: running discovery the Checkout way</t>
        </is>
      </c>
      <c r="D60" s="7" t="inlineStr">
        <is>
          <t>Sales Skills</t>
        </is>
      </c>
      <c r="E60" s="7" t="inlineStr">
        <is>
          <t>Live</t>
        </is>
      </c>
      <c r="F60" s="7" t="n">
        <v>1.5</v>
      </c>
      <c r="G60" s="7" t="inlineStr">
        <is>
          <t>Enablement + top AE</t>
        </is>
      </c>
      <c r="H60" s="7" t="inlineStr">
        <is>
          <t>Build</t>
        </is>
      </c>
      <c r="I60" s="7" t="inlineStr">
        <is>
          <t>Day 60 stack</t>
        </is>
      </c>
      <c r="J60" s="7" t="inlineStr">
        <is>
          <t>Live, AE-specific application of RevWay 5–6: agenda, upfront contract, DEPTH funnel and summarise-to-commit.</t>
        </is>
      </c>
      <c r="K60" s="7" t="inlineStr">
        <is>
          <t>New</t>
        </is>
      </c>
    </row>
    <row r="61">
      <c r="A61" s="7" t="inlineStr">
        <is>
          <t>Practice (Days 31–60)</t>
        </is>
      </c>
      <c r="B61" s="7" t="n">
        <v>9</v>
      </c>
      <c r="C61" s="7" t="inlineStr">
        <is>
          <t>Payments discovery question bank &amp; value hypothesis</t>
        </is>
      </c>
      <c r="D61" s="7" t="inlineStr">
        <is>
          <t>Sales Skills</t>
        </is>
      </c>
      <c r="E61" s="7" t="inlineStr">
        <is>
          <t>Live</t>
        </is>
      </c>
      <c r="F61" s="7" t="n">
        <v>1</v>
      </c>
      <c r="G61" s="7" t="inlineStr">
        <is>
          <t>Enablement + Solutions Engineering</t>
        </is>
      </c>
      <c r="H61" s="7" t="inlineStr">
        <is>
          <t>Build</t>
        </is>
      </c>
      <c r="I61" s="7" t="inlineStr">
        <is>
          <t>Day 60 stack</t>
        </is>
      </c>
      <c r="J61" s="7" t="inlineStr">
        <is>
          <t>Questions by persona and pillar, plus a one-page value-hypothesis template (auth uplift, fraud, cost, APM coverage, payouts).</t>
        </is>
      </c>
      <c r="K61" s="7" t="inlineStr">
        <is>
          <t>New</t>
        </is>
      </c>
    </row>
    <row r="62">
      <c r="A62" s="7" t="inlineStr">
        <is>
          <t>Practice (Days 31–60)</t>
        </is>
      </c>
      <c r="B62" s="7" t="n">
        <v>9</v>
      </c>
      <c r="C62" s="7" t="inlineStr">
        <is>
          <t>Explore role-play sprint</t>
        </is>
      </c>
      <c r="D62" s="7" t="inlineStr">
        <is>
          <t>Sales Skills</t>
        </is>
      </c>
      <c r="E62" s="7" t="inlineStr">
        <is>
          <t>Practice</t>
        </is>
      </c>
      <c r="F62" s="7" t="n">
        <v>1.5</v>
      </c>
      <c r="G62" s="7" t="inlineStr">
        <is>
          <t>Pod leads + buddy</t>
        </is>
      </c>
      <c r="H62" s="7" t="inlineStr">
        <is>
          <t>Ready</t>
        </is>
      </c>
      <c r="I62" s="7" t="inlineStr">
        <is>
          <t>Day 60 stack</t>
        </is>
      </c>
      <c r="J62" s="7" t="inlineStr">
        <is>
          <t>Three timed reps against three personas, with feedback on the certification rubric.</t>
        </is>
      </c>
      <c r="K62" s="7" t="inlineStr">
        <is>
          <t>Q4 Plan</t>
        </is>
      </c>
    </row>
    <row r="63">
      <c r="A63" s="7" t="inlineStr">
        <is>
          <t>Practice (Days 31–60)</t>
        </is>
      </c>
      <c r="B63" s="7" t="n">
        <v>9</v>
      </c>
      <c r="C63" s="7" t="inlineStr">
        <is>
          <t>★ Explore Call Certification</t>
        </is>
      </c>
      <c r="D63" s="7" t="inlineStr">
        <is>
          <t>Certification</t>
        </is>
      </c>
      <c r="E63" s="7" t="inlineStr">
        <is>
          <t>Certification</t>
        </is>
      </c>
      <c r="F63" s="7" t="n">
        <v>1</v>
      </c>
      <c r="G63" s="7" t="inlineStr">
        <is>
          <t>Pod lead + Enablement</t>
        </is>
      </c>
      <c r="H63" s="7" t="inlineStr">
        <is>
          <t>Build</t>
        </is>
      </c>
      <c r="I63" s="7" t="inlineStr">
        <is>
          <t>Day 60 stack</t>
        </is>
      </c>
      <c r="J63" s="7" t="inlineStr">
        <is>
          <t>See the certification rubric.</t>
        </is>
      </c>
      <c r="K63" s="7" t="inlineStr">
        <is>
          <t>New</t>
        </is>
      </c>
    </row>
    <row r="64">
      <c r="A64" s="7" t="inlineStr">
        <is>
          <t>Practice (Days 31–60)</t>
        </is>
      </c>
      <c r="B64" s="7" t="n">
        <v>9</v>
      </c>
      <c r="C64" s="7" t="inlineStr">
        <is>
          <t>Day 60 review: pipeline, activity &amp; ramp check</t>
        </is>
      </c>
      <c r="D64" s="7" t="inlineStr">
        <is>
          <t>Tools &amp; Process</t>
        </is>
      </c>
      <c r="E64" s="7" t="inlineStr">
        <is>
          <t>Practice</t>
        </is>
      </c>
      <c r="F64" s="7" t="n">
        <v>0.5</v>
      </c>
      <c r="G64" s="7" t="inlineStr">
        <is>
          <t>Line manager</t>
        </is>
      </c>
      <c r="H64" s="7" t="inlineStr">
        <is>
          <t>Build</t>
        </is>
      </c>
      <c r="I64" s="7" t="inlineStr">
        <is>
          <t>Day 60 stack</t>
        </is>
      </c>
      <c r="J64" s="7" t="inlineStr">
        <is>
          <t>A structured 1:1 on pipeline created, meetings booked and cert results, with the next 30-day plan.</t>
        </is>
      </c>
      <c r="K64" s="7" t="inlineStr">
        <is>
          <t>New</t>
        </is>
      </c>
    </row>
    <row r="65">
      <c r="A65" s="7" t="inlineStr">
        <is>
          <t>Perform (Days 61–90)</t>
        </is>
      </c>
      <c r="B65" s="7" t="n">
        <v>10</v>
      </c>
      <c r="C65" s="7" t="inlineStr">
        <is>
          <t>Propose Masterclass</t>
        </is>
      </c>
      <c r="D65" s="7" t="inlineStr">
        <is>
          <t>Sales Skills</t>
        </is>
      </c>
      <c r="E65" s="7" t="inlineStr">
        <is>
          <t>Live</t>
        </is>
      </c>
      <c r="F65" s="7" t="n">
        <v>1.5</v>
      </c>
      <c r="G65" s="7" t="inlineStr">
        <is>
          <t>Enablement</t>
        </is>
      </c>
      <c r="H65" s="7" t="inlineStr">
        <is>
          <t>Ready</t>
        </is>
      </c>
      <c r="I65" s="7" t="inlineStr"/>
      <c r="J65" s="7" t="inlineStr"/>
      <c r="K65" s="7" t="inlineStr">
        <is>
          <t>Q4 Plan</t>
        </is>
      </c>
    </row>
    <row r="66">
      <c r="A66" s="7" t="inlineStr">
        <is>
          <t>Perform (Days 61–90)</t>
        </is>
      </c>
      <c r="B66" s="7" t="n">
        <v>10</v>
      </c>
      <c r="C66" s="7" t="inlineStr">
        <is>
          <t>Pricing guidance &amp; take rate</t>
        </is>
      </c>
      <c r="D66" s="7" t="inlineStr">
        <is>
          <t>Tools &amp; Process</t>
        </is>
      </c>
      <c r="E66" s="7" t="inlineStr">
        <is>
          <t>Live</t>
        </is>
      </c>
      <c r="F66" s="7" t="n">
        <v>1</v>
      </c>
      <c r="G66" s="7" t="inlineStr">
        <is>
          <t>Jim Cho + Francesco Falcone</t>
        </is>
      </c>
      <c r="H66" s="7" t="inlineStr">
        <is>
          <t>Build</t>
        </is>
      </c>
      <c r="I66" s="7" t="inlineStr"/>
      <c r="J66" s="7" t="inlineStr">
        <is>
          <t>Listed in the Q3 SME tracker but never scheduled. Covers guardrails, approvals and how to talk about price.</t>
        </is>
      </c>
      <c r="K66" s="7" t="inlineStr">
        <is>
          <t>Q4 Plan</t>
        </is>
      </c>
    </row>
    <row r="67">
      <c r="A67" s="7" t="inlineStr">
        <is>
          <t>Perform (Days 61–90)</t>
        </is>
      </c>
      <c r="B67" s="7" t="n">
        <v>10</v>
      </c>
      <c r="C67" s="7" t="inlineStr">
        <is>
          <t>Pricing calculator walk-through (real deal example)</t>
        </is>
      </c>
      <c r="D67" s="7" t="inlineStr">
        <is>
          <t>Tools &amp; Process</t>
        </is>
      </c>
      <c r="E67" s="7" t="inlineStr">
        <is>
          <t>Live</t>
        </is>
      </c>
      <c r="F67" s="7" t="n">
        <v>1</v>
      </c>
      <c r="G67" s="7" t="inlineStr">
        <is>
          <t>Jim Cho</t>
        </is>
      </c>
      <c r="H67" s="7" t="inlineStr">
        <is>
          <t>Ready</t>
        </is>
      </c>
      <c r="I67" s="7" t="inlineStr"/>
      <c r="J67" s="7" t="inlineStr"/>
      <c r="K67" s="7" t="inlineStr">
        <is>
          <t>Q4 Plan</t>
        </is>
      </c>
    </row>
    <row r="68">
      <c r="A68" s="7" t="inlineStr">
        <is>
          <t>Perform (Days 61–90)</t>
        </is>
      </c>
      <c r="B68" s="7" t="n">
        <v>10</v>
      </c>
      <c r="C68" s="7" t="inlineStr">
        <is>
          <t>AFT/OCT pricing calculator walk-through</t>
        </is>
      </c>
      <c r="D68" s="7" t="inlineStr">
        <is>
          <t>Tools &amp; Process</t>
        </is>
      </c>
      <c r="E68" s="7" t="inlineStr">
        <is>
          <t>Live</t>
        </is>
      </c>
      <c r="F68" s="7" t="n">
        <v>0.5</v>
      </c>
      <c r="G68" s="7" t="inlineStr">
        <is>
          <t>Vladimir Sterenko</t>
        </is>
      </c>
      <c r="H68" s="7" t="inlineStr">
        <is>
          <t>Ready</t>
        </is>
      </c>
      <c r="I68" s="7" t="inlineStr"/>
      <c r="J68" s="7" t="inlineStr"/>
      <c r="K68" s="7" t="inlineStr">
        <is>
          <t>Q4 Plan</t>
        </is>
      </c>
    </row>
    <row r="69">
      <c r="A69" s="7" t="inlineStr">
        <is>
          <t>Perform (Days 61–90)</t>
        </is>
      </c>
      <c r="B69" s="7" t="n">
        <v>10</v>
      </c>
      <c r="C69" s="7" t="inlineStr">
        <is>
          <t>RevWay 8–9: Propose &amp; Presentation Skills</t>
        </is>
      </c>
      <c r="D69" s="7" t="inlineStr">
        <is>
          <t>Sales Skills</t>
        </is>
      </c>
      <c r="E69" s="7" t="inlineStr">
        <is>
          <t>Self-paced</t>
        </is>
      </c>
      <c r="F69" s="7" t="n">
        <v>3.5</v>
      </c>
      <c r="G69" s="7" t="inlineStr">
        <is>
          <t>Self-directed</t>
        </is>
      </c>
      <c r="H69" s="7" t="inlineStr">
        <is>
          <t>Ready</t>
        </is>
      </c>
      <c r="I69" s="7" t="inlineStr"/>
      <c r="J69" s="7" t="inlineStr"/>
      <c r="K69" s="7" t="inlineStr">
        <is>
          <t>Q4 Plan</t>
        </is>
      </c>
    </row>
    <row r="70">
      <c r="A70" s="7" t="inlineStr">
        <is>
          <t>Perform (Days 61–90)</t>
        </is>
      </c>
      <c r="B70" s="7" t="n">
        <v>11</v>
      </c>
      <c r="C70" s="7" t="inlineStr">
        <is>
          <t>Payments economics: interchange++, fee &amp; cost analysis</t>
        </is>
      </c>
      <c r="D70" s="7" t="inlineStr">
        <is>
          <t>Payments &amp; Product</t>
        </is>
      </c>
      <c r="E70" s="7" t="inlineStr">
        <is>
          <t>Live</t>
        </is>
      </c>
      <c r="F70" s="7" t="n">
        <v>1.5</v>
      </c>
      <c r="G70" s="7" t="inlineStr">
        <is>
          <t>Deal Management + Solutions Engineering</t>
        </is>
      </c>
      <c r="H70" s="7" t="inlineStr">
        <is>
          <t>Build</t>
        </is>
      </c>
      <c r="I70" s="7" t="inlineStr"/>
      <c r="J70" s="7" t="inlineStr">
        <is>
          <t>The resources exist (Gopuff and Rhino + Jetty cost analyses, L2/L3 interchange) and are tagged 'cover later', but there's no session.</t>
        </is>
      </c>
      <c r="K70" s="7" t="inlineStr">
        <is>
          <t>NY Repository</t>
        </is>
      </c>
    </row>
    <row r="71">
      <c r="A71" s="7" t="inlineStr">
        <is>
          <t>Perform (Days 61–90)</t>
        </is>
      </c>
      <c r="B71" s="7" t="n">
        <v>11</v>
      </c>
      <c r="C71" s="7" t="inlineStr">
        <is>
          <t>Trade, deal structure &amp; negotiation case studies</t>
        </is>
      </c>
      <c r="D71" s="7" t="inlineStr">
        <is>
          <t>Sales Skills</t>
        </is>
      </c>
      <c r="E71" s="7" t="inlineStr">
        <is>
          <t>Live</t>
        </is>
      </c>
      <c r="F71" s="7" t="n">
        <v>1</v>
      </c>
      <c r="G71" s="7" t="inlineStr">
        <is>
          <t>Pod lead (TBD)</t>
        </is>
      </c>
      <c r="H71" s="7" t="inlineStr">
        <is>
          <t>Build</t>
        </is>
      </c>
      <c r="I71" s="7" t="inlineStr"/>
      <c r="J71" s="7" t="inlineStr">
        <is>
          <t>Negotiation, getting pricing approved, and minimum billing. The owner is still TBD in the SME tracker.</t>
        </is>
      </c>
      <c r="K71" s="7" t="inlineStr">
        <is>
          <t>Q4 Plan</t>
        </is>
      </c>
    </row>
    <row r="72">
      <c r="A72" s="7" t="inlineStr">
        <is>
          <t>Perform (Days 61–90)</t>
        </is>
      </c>
      <c r="B72" s="7" t="n">
        <v>11</v>
      </c>
      <c r="C72" s="7" t="inlineStr">
        <is>
          <t>Underwriting from the UW lens + MAF &amp; questionnaires</t>
        </is>
      </c>
      <c r="D72" s="7" t="inlineStr">
        <is>
          <t>Tools &amp; Process</t>
        </is>
      </c>
      <c r="E72" s="7" t="inlineStr">
        <is>
          <t>Live</t>
        </is>
      </c>
      <c r="F72" s="7" t="n">
        <v>1</v>
      </c>
      <c r="G72" s="7" t="inlineStr">
        <is>
          <t>Jarett Israel + Rithvik Nair</t>
        </is>
      </c>
      <c r="H72" s="7" t="inlineStr">
        <is>
          <t>Ready</t>
        </is>
      </c>
      <c r="I72" s="7" t="inlineStr"/>
      <c r="J72" s="7" t="inlineStr"/>
      <c r="K72" s="7" t="inlineStr">
        <is>
          <t>Q4 Plan</t>
        </is>
      </c>
    </row>
    <row r="73">
      <c r="A73" s="7" t="inlineStr">
        <is>
          <t>Perform (Days 61–90)</t>
        </is>
      </c>
      <c r="B73" s="7" t="n">
        <v>11</v>
      </c>
      <c r="C73" s="7" t="inlineStr">
        <is>
          <t>Objection handling drill + RevWay 10</t>
        </is>
      </c>
      <c r="D73" s="7" t="inlineStr">
        <is>
          <t>Sales Skills</t>
        </is>
      </c>
      <c r="E73" s="7" t="inlineStr">
        <is>
          <t>Practice</t>
        </is>
      </c>
      <c r="F73" s="7" t="n">
        <v>1.5</v>
      </c>
      <c r="G73" s="7" t="inlineStr">
        <is>
          <t>Enablement</t>
        </is>
      </c>
      <c r="H73" s="7" t="inlineStr">
        <is>
          <t>Refresh</t>
        </is>
      </c>
      <c r="I73" s="7" t="inlineStr"/>
      <c r="J73" s="7" t="inlineStr">
        <is>
          <t>Self-paced only today. Add a live drill that uses the competitive defense playbook.</t>
        </is>
      </c>
      <c r="K73" s="7" t="inlineStr">
        <is>
          <t>Q4 Plan</t>
        </is>
      </c>
    </row>
    <row r="74">
      <c r="A74" s="7" t="inlineStr">
        <is>
          <t>Perform (Days 61–90)</t>
        </is>
      </c>
      <c r="B74" s="7" t="n">
        <v>12</v>
      </c>
      <c r="C74" s="7" t="inlineStr">
        <is>
          <t>How to ramp a merchant: what happens after 'yes'</t>
        </is>
      </c>
      <c r="D74" s="7" t="inlineStr">
        <is>
          <t>Tools &amp; Process</t>
        </is>
      </c>
      <c r="E74" s="7" t="inlineStr">
        <is>
          <t>Live</t>
        </is>
      </c>
      <c r="F74" s="7" t="n">
        <v>0.5</v>
      </c>
      <c r="G74" s="7" t="inlineStr">
        <is>
          <t>Nicholas Schaffer</t>
        </is>
      </c>
      <c r="H74" s="7" t="inlineStr">
        <is>
          <t>Ready</t>
        </is>
      </c>
      <c r="I74" s="7" t="inlineStr"/>
      <c r="J74" s="7" t="inlineStr"/>
      <c r="K74" s="7" t="inlineStr">
        <is>
          <t>Q4 Plan</t>
        </is>
      </c>
    </row>
    <row r="75">
      <c r="A75" s="7" t="inlineStr">
        <is>
          <t>Perform (Days 61–90)</t>
        </is>
      </c>
      <c r="B75" s="7" t="n">
        <v>12</v>
      </c>
      <c r="C75" s="7" t="inlineStr">
        <is>
          <t>QBR walk-through</t>
        </is>
      </c>
      <c r="D75" s="7" t="inlineStr">
        <is>
          <t>Tools &amp; Process</t>
        </is>
      </c>
      <c r="E75" s="7" t="inlineStr">
        <is>
          <t>Live</t>
        </is>
      </c>
      <c r="F75" s="7" t="n">
        <v>0.5</v>
      </c>
      <c r="G75" s="7" t="inlineStr">
        <is>
          <t>Perrin Heyka</t>
        </is>
      </c>
      <c r="H75" s="7" t="inlineStr">
        <is>
          <t>Ready</t>
        </is>
      </c>
      <c r="I75" s="7" t="inlineStr"/>
      <c r="J75" s="7" t="inlineStr"/>
      <c r="K75" s="7" t="inlineStr">
        <is>
          <t>Q4 Plan</t>
        </is>
      </c>
    </row>
    <row r="76">
      <c r="A76" s="7" t="inlineStr">
        <is>
          <t>Perform (Days 61–90)</t>
        </is>
      </c>
      <c r="B76" s="7" t="n">
        <v>12</v>
      </c>
      <c r="C76" s="7" t="inlineStr">
        <is>
          <t>MBO, quota mechanics &amp; your path to quota</t>
        </is>
      </c>
      <c r="D76" s="7" t="inlineStr">
        <is>
          <t>Tools &amp; Process</t>
        </is>
      </c>
      <c r="E76" s="7" t="inlineStr">
        <is>
          <t>Live</t>
        </is>
      </c>
      <c r="F76" s="7" t="n">
        <v>1</v>
      </c>
      <c r="G76" s="7" t="inlineStr">
        <is>
          <t>Francesco Falcone + Jim Cho</t>
        </is>
      </c>
      <c r="H76" s="7" t="inlineStr">
        <is>
          <t>Refresh</t>
        </is>
      </c>
      <c r="I76" s="7" t="inlineStr"/>
      <c r="J76" s="7" t="inlineStr">
        <is>
          <t>Reschedule to 60 minutes with Jim, and invite newer hires.</t>
        </is>
      </c>
      <c r="K76" s="7" t="inlineStr">
        <is>
          <t>Q4 Plan</t>
        </is>
      </c>
    </row>
    <row r="77">
      <c r="A77" s="7" t="inlineStr">
        <is>
          <t>Perform (Days 61–90)</t>
        </is>
      </c>
      <c r="B77" s="7" t="n">
        <v>12</v>
      </c>
      <c r="C77" s="7" t="inlineStr">
        <is>
          <t>Working with Marketing &amp; the Strategic Accounts Team</t>
        </is>
      </c>
      <c r="D77" s="7" t="inlineStr">
        <is>
          <t>People &amp; Network</t>
        </is>
      </c>
      <c r="E77" s="7" t="inlineStr">
        <is>
          <t>Live</t>
        </is>
      </c>
      <c r="F77" s="7" t="n">
        <v>1</v>
      </c>
      <c r="G77" s="7" t="inlineStr">
        <is>
          <t>Marketing + Cyril Chemla</t>
        </is>
      </c>
      <c r="H77" s="7" t="inlineStr">
        <is>
          <t>Ready</t>
        </is>
      </c>
      <c r="I77" s="7" t="inlineStr"/>
      <c r="J77" s="7" t="inlineStr"/>
      <c r="K77" s="7" t="inlineStr">
        <is>
          <t>Q4 Plan</t>
        </is>
      </c>
    </row>
    <row r="78">
      <c r="A78" s="7" t="inlineStr">
        <is>
          <t>Perform (Days 61–90)</t>
        </is>
      </c>
      <c r="B78" s="7" t="n">
        <v>13</v>
      </c>
      <c r="C78" s="7" t="inlineStr">
        <is>
          <t>Storyline workshop: building a Checkout pitch deck</t>
        </is>
      </c>
      <c r="D78" s="7" t="inlineStr">
        <is>
          <t>Sales Skills</t>
        </is>
      </c>
      <c r="E78" s="7" t="inlineStr">
        <is>
          <t>Live</t>
        </is>
      </c>
      <c r="F78" s="7" t="n">
        <v>1.5</v>
      </c>
      <c r="G78" s="7" t="inlineStr">
        <is>
          <t>Enablement + Product Marketing</t>
        </is>
      </c>
      <c r="H78" s="7" t="inlineStr">
        <is>
          <t>Build</t>
        </is>
      </c>
      <c r="I78" s="7" t="inlineStr">
        <is>
          <t>Day 90 stack</t>
        </is>
      </c>
      <c r="J78" s="7" t="inlineStr">
        <is>
          <t>Insight → value → proof → plan, using the Great Decks library (GM, 1800 Contacts, Flutter RFP, Caesars).</t>
        </is>
      </c>
      <c r="K78" s="7" t="inlineStr">
        <is>
          <t>NY Repository</t>
        </is>
      </c>
    </row>
    <row r="79">
      <c r="A79" s="7" t="inlineStr">
        <is>
          <t>Perform (Days 61–90)</t>
        </is>
      </c>
      <c r="B79" s="7" t="n">
        <v>13</v>
      </c>
      <c r="C79" s="7" t="inlineStr">
        <is>
          <t>Business case lab: quantify the value</t>
        </is>
      </c>
      <c r="D79" s="7" t="inlineStr">
        <is>
          <t>Sales Skills</t>
        </is>
      </c>
      <c r="E79" s="7" t="inlineStr">
        <is>
          <t>Practice</t>
        </is>
      </c>
      <c r="F79" s="7" t="n">
        <v>1</v>
      </c>
      <c r="G79" s="7" t="inlineStr">
        <is>
          <t>Solutions Engineering + Deal Management</t>
        </is>
      </c>
      <c r="H79" s="7" t="inlineStr">
        <is>
          <t>Build</t>
        </is>
      </c>
      <c r="I79" s="7" t="inlineStr">
        <is>
          <t>Day 90 stack</t>
        </is>
      </c>
      <c r="J79" s="7" t="inlineStr">
        <is>
          <t>Turn the Day 60 value hypothesis into numbers using the pricing model and cost-analysis examples.</t>
        </is>
      </c>
      <c r="K79" s="7" t="inlineStr">
        <is>
          <t>New</t>
        </is>
      </c>
    </row>
    <row r="80">
      <c r="A80" s="7" t="inlineStr">
        <is>
          <t>Perform (Days 61–90)</t>
        </is>
      </c>
      <c r="B80" s="7" t="n">
        <v>13</v>
      </c>
      <c r="C80" s="7" t="inlineStr">
        <is>
          <t>Deck peer review &amp; dry run</t>
        </is>
      </c>
      <c r="D80" s="7" t="inlineStr">
        <is>
          <t>Sales Skills</t>
        </is>
      </c>
      <c r="E80" s="7" t="inlineStr">
        <is>
          <t>Practice</t>
        </is>
      </c>
      <c r="F80" s="7" t="n">
        <v>1</v>
      </c>
      <c r="G80" s="7" t="inlineStr">
        <is>
          <t>Buddy + pod</t>
        </is>
      </c>
      <c r="H80" s="7" t="inlineStr">
        <is>
          <t>Build</t>
        </is>
      </c>
      <c r="I80" s="7" t="inlineStr">
        <is>
          <t>Day 90 stack</t>
        </is>
      </c>
      <c r="J80" s="7" t="inlineStr"/>
      <c r="K80" s="7" t="inlineStr">
        <is>
          <t>New</t>
        </is>
      </c>
    </row>
    <row r="81">
      <c r="A81" s="7" t="inlineStr">
        <is>
          <t>Perform (Days 61–90)</t>
        </is>
      </c>
      <c r="B81" s="7" t="n">
        <v>13</v>
      </c>
      <c r="C81" s="7" t="inlineStr">
        <is>
          <t>★ Pitch Deck Certification</t>
        </is>
      </c>
      <c r="D81" s="7" t="inlineStr">
        <is>
          <t>Certification</t>
        </is>
      </c>
      <c r="E81" s="7" t="inlineStr">
        <is>
          <t>Certification</t>
        </is>
      </c>
      <c r="F81" s="7" t="n">
        <v>1</v>
      </c>
      <c r="G81" s="7" t="inlineStr">
        <is>
          <t>Panel: pod lead, SE, Enablement, guest leader</t>
        </is>
      </c>
      <c r="H81" s="7" t="inlineStr">
        <is>
          <t>Build</t>
        </is>
      </c>
      <c r="I81" s="7" t="inlineStr">
        <is>
          <t>Day 90 stack</t>
        </is>
      </c>
      <c r="J81" s="7" t="inlineStr">
        <is>
          <t>See the certification rubric.</t>
        </is>
      </c>
      <c r="K81" s="7" t="inlineStr">
        <is>
          <t>New</t>
        </is>
      </c>
    </row>
    <row r="82">
      <c r="A82" s="7" t="inlineStr">
        <is>
          <t>Perform (Days 61–90)</t>
        </is>
      </c>
      <c r="B82" s="7" t="n">
        <v>13</v>
      </c>
      <c r="C82" s="7" t="inlineStr">
        <is>
          <t>Day 90 review &amp; graduation to everboarding</t>
        </is>
      </c>
      <c r="D82" s="7" t="inlineStr">
        <is>
          <t>Tools &amp; Process</t>
        </is>
      </c>
      <c r="E82" s="7" t="inlineStr">
        <is>
          <t>Practice</t>
        </is>
      </c>
      <c r="F82" s="7" t="n">
        <v>0.5</v>
      </c>
      <c r="G82" s="7" t="inlineStr">
        <is>
          <t>Line manager + Enablement</t>
        </is>
      </c>
      <c r="H82" s="7" t="inlineStr">
        <is>
          <t>Build</t>
        </is>
      </c>
      <c r="I82" s="7" t="inlineStr">
        <is>
          <t>Day 90 stack</t>
        </is>
      </c>
      <c r="J82" s="7" t="inlineStr">
        <is>
          <t>Ramp review against quota trajectory, certifications logged, and an individual development plan for Days 91–180.</t>
        </is>
      </c>
      <c r="K82" s="7" t="inlineStr">
        <is>
          <t>New</t>
        </is>
      </c>
    </row>
    <row r="83">
      <c r="A83" s="7" t="inlineStr">
        <is>
          <t>Everboard (Day 90+)</t>
        </is>
      </c>
      <c r="B83" s="7" t="n">
        <v>14</v>
      </c>
      <c r="C83" s="7" t="inlineStr">
        <is>
          <t>Monthly sales skills session</t>
        </is>
      </c>
      <c r="D83" s="7" t="inlineStr">
        <is>
          <t>Sales Skills</t>
        </is>
      </c>
      <c r="E83" s="7" t="inlineStr">
        <is>
          <t>Live</t>
        </is>
      </c>
      <c r="F83" s="7" t="n">
        <v>1</v>
      </c>
      <c r="G83" s="7" t="inlineStr">
        <is>
          <t>Enablement</t>
        </is>
      </c>
      <c r="H83" s="7" t="inlineStr">
        <is>
          <t>Ready</t>
        </is>
      </c>
      <c r="I83" s="7" t="inlineStr"/>
      <c r="J83" s="7" t="inlineStr"/>
      <c r="K83" s="7" t="inlineStr">
        <is>
          <t>Q4 Plan</t>
        </is>
      </c>
    </row>
    <row r="84">
      <c r="A84" s="7" t="inlineStr">
        <is>
          <t>Everboard (Day 90+)</t>
        </is>
      </c>
      <c r="B84" s="7" t="n">
        <v>14</v>
      </c>
      <c r="C84" s="7" t="inlineStr">
        <is>
          <t>'How We Did It' at the sales all-hands</t>
        </is>
      </c>
      <c r="D84" s="7" t="inlineStr">
        <is>
          <t>Sales Skills</t>
        </is>
      </c>
      <c r="E84" s="7" t="inlineStr">
        <is>
          <t>Live</t>
        </is>
      </c>
      <c r="F84" s="7" t="n">
        <v>0.5</v>
      </c>
      <c r="G84" s="7" t="inlineStr">
        <is>
          <t>Octavio Balcazar / Olivia Smith</t>
        </is>
      </c>
      <c r="H84" s="7" t="inlineStr">
        <is>
          <t>Ready</t>
        </is>
      </c>
      <c r="I84" s="7" t="inlineStr"/>
      <c r="J84" s="7" t="inlineStr"/>
      <c r="K84" s="7" t="inlineStr">
        <is>
          <t>Q4 Plan</t>
        </is>
      </c>
    </row>
    <row r="85">
      <c r="A85" s="7" t="inlineStr">
        <is>
          <t>Everboard (Day 90+)</t>
        </is>
      </c>
      <c r="B85" s="7" t="n">
        <v>14</v>
      </c>
      <c r="C85" s="7" t="inlineStr">
        <is>
          <t>Call recording clinic, every two months</t>
        </is>
      </c>
      <c r="D85" s="7" t="inlineStr">
        <is>
          <t>Sales Skills</t>
        </is>
      </c>
      <c r="E85" s="7" t="inlineStr">
        <is>
          <t>Practice</t>
        </is>
      </c>
      <c r="F85" s="7" t="n">
        <v>0.75</v>
      </c>
      <c r="G85" s="7" t="inlineStr">
        <is>
          <t>Jim Cho + Francesco Falcone</t>
        </is>
      </c>
      <c r="H85" s="7" t="inlineStr">
        <is>
          <t>Ready</t>
        </is>
      </c>
      <c r="I85" s="7" t="inlineStr"/>
      <c r="J85" s="7" t="inlineStr"/>
      <c r="K85" s="7" t="inlineStr">
        <is>
          <t>Q4 Plan</t>
        </is>
      </c>
    </row>
    <row r="86">
      <c r="A86" s="7" t="inlineStr">
        <is>
          <t>Everboard (Day 90+)</t>
        </is>
      </c>
      <c r="B86" s="7" t="n">
        <v>14</v>
      </c>
      <c r="C86" s="7" t="inlineStr">
        <is>
          <t>Yearly recertification: Explore &amp; Pitch</t>
        </is>
      </c>
      <c r="D86" s="7" t="inlineStr">
        <is>
          <t>Certification</t>
        </is>
      </c>
      <c r="E86" s="7" t="inlineStr">
        <is>
          <t>Certification</t>
        </is>
      </c>
      <c r="F86" s="7" t="n">
        <v>1</v>
      </c>
      <c r="G86" s="7" t="inlineStr">
        <is>
          <t>Enablement</t>
        </is>
      </c>
      <c r="H86" s="7" t="inlineStr">
        <is>
          <t>Build</t>
        </is>
      </c>
      <c r="I86" s="7" t="inlineStr"/>
      <c r="J86" s="7" t="inlineStr">
        <is>
          <t>Keeps the bar consistent for tenured AEs (charter pillar 1: recertification rate).</t>
        </is>
      </c>
      <c r="K86" s="7" t="inlineStr">
        <is>
          <t>New</t>
        </is>
      </c>
    </row>
  </sheetData>
  <autoFilter ref="A3:K86"/>
  <conditionalFormatting sqref="H4:H500">
    <cfRule type="cellIs" priority="1" operator="equal" dxfId="0">
      <formula>"Ready"</formula>
    </cfRule>
    <cfRule type="cellIs" priority="2" operator="equal" dxfId="1">
      <formula>"Refresh"</formula>
    </cfRule>
    <cfRule type="cellIs" priority="3" operator="equal" dxfId="2">
      <formula>"Build"</formula>
    </cfRule>
  </conditionalFormatting>
  <dataValidations count="1">
    <dataValidation sqref="H4:H500" showDropDown="0" showInputMessage="0" showErrorMessage="0" allowBlank="0" type="list">
      <formula1>"Ready,Refresh,Build"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0" customWidth="1" min="3" max="3"/>
    <col width="22" customWidth="1" min="4" max="4"/>
    <col width="7" customWidth="1" min="5" max="5"/>
    <col width="30" customWidth="1" min="6" max="6"/>
    <col width="13" customWidth="1" min="7" max="7"/>
    <col width="13" customWidth="1" min="8" max="8"/>
    <col width="30" customWidth="1" min="9" max="9"/>
    <col width="70" customWidth="1" min="10" max="10"/>
  </cols>
  <sheetData>
    <row r="1">
      <c r="A1" s="2" t="inlineStr">
        <is>
          <t>P1 = needed for the next cohort (certifications, Day 60/90 stacks, Day 1 payments primer). Update Progress as content is built.</t>
        </is>
      </c>
    </row>
    <row r="3">
      <c r="A3" s="6" t="inlineStr">
        <is>
          <t>Priority</t>
        </is>
      </c>
      <c r="B3" s="6" t="inlineStr">
        <is>
          <t>Type</t>
        </is>
      </c>
      <c r="C3" s="6" t="inlineStr">
        <is>
          <t>Session</t>
        </is>
      </c>
      <c r="D3" s="6" t="inlineStr">
        <is>
          <t>Phase</t>
        </is>
      </c>
      <c r="E3" s="6" t="inlineStr">
        <is>
          <t>Week</t>
        </is>
      </c>
      <c r="F3" s="6" t="inlineStr">
        <is>
          <t>Proposed owner</t>
        </is>
      </c>
      <c r="G3" s="6" t="inlineStr">
        <is>
          <t>Target date</t>
        </is>
      </c>
      <c r="H3" s="6" t="inlineStr">
        <is>
          <t>Progress</t>
        </is>
      </c>
      <c r="I3" s="6" t="inlineStr">
        <is>
          <t>Content link</t>
        </is>
      </c>
      <c r="J3" s="6" t="inlineStr">
        <is>
          <t>Brief</t>
        </is>
      </c>
    </row>
    <row r="4">
      <c r="A4" s="7" t="inlineStr">
        <is>
          <t>P1</t>
        </is>
      </c>
      <c r="B4" s="7" t="inlineStr">
        <is>
          <t>Build</t>
        </is>
      </c>
      <c r="C4" s="7" t="inlineStr">
        <is>
          <t>Payments at Checkout in 60 minutes</t>
        </is>
      </c>
      <c r="D4" s="7" t="inlineStr">
        <is>
          <t>Land (Days 1–14)</t>
        </is>
      </c>
      <c r="E4" s="7" t="n">
        <v>1</v>
      </c>
      <c r="F4" s="7" t="inlineStr">
        <is>
          <t>Enablement + Solutions Engineering</t>
        </is>
      </c>
      <c r="G4" s="7" t="inlineStr"/>
      <c r="H4" s="7" t="inlineStr">
        <is>
          <t>Not started</t>
        </is>
      </c>
      <c r="I4" s="7" t="inlineStr"/>
      <c r="J4" s="7" t="inlineStr">
        <is>
          <t>A story-led primer: the life of a card transaction, where Checkout earns, and why merchants switch. It replaces the Day 2 deep dive into Payments Academy and gives context before the curriculum starts.</t>
        </is>
      </c>
    </row>
    <row r="5">
      <c r="A5" s="7" t="inlineStr">
        <is>
          <t>P1</t>
        </is>
      </c>
      <c r="B5" s="7" t="inlineStr">
        <is>
          <t>Build</t>
        </is>
      </c>
      <c r="C5" s="7" t="inlineStr">
        <is>
          <t>Explore Call Masterclass: running discovery the Checkout way</t>
        </is>
      </c>
      <c r="D5" s="7" t="inlineStr">
        <is>
          <t>Practice (Days 31–60)</t>
        </is>
      </c>
      <c r="E5" s="7" t="n">
        <v>9</v>
      </c>
      <c r="F5" s="7" t="inlineStr">
        <is>
          <t>Enablement + top AE</t>
        </is>
      </c>
      <c r="G5" s="7" t="inlineStr"/>
      <c r="H5" s="7" t="inlineStr">
        <is>
          <t>Not started</t>
        </is>
      </c>
      <c r="I5" s="7" t="inlineStr"/>
      <c r="J5" s="7" t="inlineStr">
        <is>
          <t>Live, AE-specific application of RevWay 5–6: agenda, upfront contract, DEPTH funnel and summarise-to-commit.</t>
        </is>
      </c>
    </row>
    <row r="6">
      <c r="A6" s="7" t="inlineStr">
        <is>
          <t>P1</t>
        </is>
      </c>
      <c r="B6" s="7" t="inlineStr">
        <is>
          <t>Build</t>
        </is>
      </c>
      <c r="C6" s="7" t="inlineStr">
        <is>
          <t>Payments discovery question bank &amp; value hypothesis</t>
        </is>
      </c>
      <c r="D6" s="7" t="inlineStr">
        <is>
          <t>Practice (Days 31–60)</t>
        </is>
      </c>
      <c r="E6" s="7" t="n">
        <v>9</v>
      </c>
      <c r="F6" s="7" t="inlineStr">
        <is>
          <t>Enablement + Solutions Engineering</t>
        </is>
      </c>
      <c r="G6" s="7" t="inlineStr"/>
      <c r="H6" s="7" t="inlineStr">
        <is>
          <t>Not started</t>
        </is>
      </c>
      <c r="I6" s="7" t="inlineStr"/>
      <c r="J6" s="7" t="inlineStr">
        <is>
          <t>Questions by persona and pillar, plus a one-page value-hypothesis template (auth uplift, fraud, cost, APM coverage, payouts).</t>
        </is>
      </c>
    </row>
    <row r="7">
      <c r="A7" s="7" t="inlineStr">
        <is>
          <t>P1</t>
        </is>
      </c>
      <c r="B7" s="7" t="inlineStr">
        <is>
          <t>Build</t>
        </is>
      </c>
      <c r="C7" s="7" t="inlineStr">
        <is>
          <t>★ Explore Call Certification</t>
        </is>
      </c>
      <c r="D7" s="7" t="inlineStr">
        <is>
          <t>Practice (Days 31–60)</t>
        </is>
      </c>
      <c r="E7" s="7" t="n">
        <v>9</v>
      </c>
      <c r="F7" s="7" t="inlineStr">
        <is>
          <t>Pod lead + Enablement</t>
        </is>
      </c>
      <c r="G7" s="7" t="inlineStr"/>
      <c r="H7" s="7" t="inlineStr">
        <is>
          <t>Not started</t>
        </is>
      </c>
      <c r="I7" s="7" t="inlineStr"/>
      <c r="J7" s="7" t="inlineStr">
        <is>
          <t>See the certification rubric.</t>
        </is>
      </c>
    </row>
    <row r="8">
      <c r="A8" s="7" t="inlineStr">
        <is>
          <t>P1</t>
        </is>
      </c>
      <c r="B8" s="7" t="inlineStr">
        <is>
          <t>Build</t>
        </is>
      </c>
      <c r="C8" s="7" t="inlineStr">
        <is>
          <t>Day 60 review: pipeline, activity &amp; ramp check</t>
        </is>
      </c>
      <c r="D8" s="7" t="inlineStr">
        <is>
          <t>Practice (Days 31–60)</t>
        </is>
      </c>
      <c r="E8" s="7" t="n">
        <v>9</v>
      </c>
      <c r="F8" s="7" t="inlineStr">
        <is>
          <t>Line manager</t>
        </is>
      </c>
      <c r="G8" s="7" t="inlineStr"/>
      <c r="H8" s="7" t="inlineStr">
        <is>
          <t>Not started</t>
        </is>
      </c>
      <c r="I8" s="7" t="inlineStr"/>
      <c r="J8" s="7" t="inlineStr">
        <is>
          <t>A structured 1:1 on pipeline created, meetings booked and cert results, with the next 30-day plan.</t>
        </is>
      </c>
    </row>
    <row r="9">
      <c r="A9" s="7" t="inlineStr">
        <is>
          <t>P1</t>
        </is>
      </c>
      <c r="B9" s="7" t="inlineStr">
        <is>
          <t>Build</t>
        </is>
      </c>
      <c r="C9" s="7" t="inlineStr">
        <is>
          <t>Storyline workshop: building a Checkout pitch deck</t>
        </is>
      </c>
      <c r="D9" s="7" t="inlineStr">
        <is>
          <t>Perform (Days 61–90)</t>
        </is>
      </c>
      <c r="E9" s="7" t="n">
        <v>13</v>
      </c>
      <c r="F9" s="7" t="inlineStr">
        <is>
          <t>Enablement + Product Marketing</t>
        </is>
      </c>
      <c r="G9" s="7" t="inlineStr"/>
      <c r="H9" s="7" t="inlineStr">
        <is>
          <t>Not started</t>
        </is>
      </c>
      <c r="I9" s="7" t="inlineStr"/>
      <c r="J9" s="7" t="inlineStr">
        <is>
          <t>Insight → value → proof → plan, using the Great Decks library (GM, 1800 Contacts, Flutter RFP, Caesars).</t>
        </is>
      </c>
    </row>
    <row r="10">
      <c r="A10" s="7" t="inlineStr">
        <is>
          <t>P1</t>
        </is>
      </c>
      <c r="B10" s="7" t="inlineStr">
        <is>
          <t>Build</t>
        </is>
      </c>
      <c r="C10" s="7" t="inlineStr">
        <is>
          <t>Business case lab: quantify the value</t>
        </is>
      </c>
      <c r="D10" s="7" t="inlineStr">
        <is>
          <t>Perform (Days 61–90)</t>
        </is>
      </c>
      <c r="E10" s="7" t="n">
        <v>13</v>
      </c>
      <c r="F10" s="7" t="inlineStr">
        <is>
          <t>Solutions Engineering + Deal Management</t>
        </is>
      </c>
      <c r="G10" s="7" t="inlineStr"/>
      <c r="H10" s="7" t="inlineStr">
        <is>
          <t>Not started</t>
        </is>
      </c>
      <c r="I10" s="7" t="inlineStr"/>
      <c r="J10" s="7" t="inlineStr">
        <is>
          <t>Turn the Day 60 value hypothesis into numbers using the pricing model and cost-analysis examples.</t>
        </is>
      </c>
    </row>
    <row r="11">
      <c r="A11" s="7" t="inlineStr">
        <is>
          <t>P1</t>
        </is>
      </c>
      <c r="B11" s="7" t="inlineStr">
        <is>
          <t>Build</t>
        </is>
      </c>
      <c r="C11" s="7" t="inlineStr">
        <is>
          <t>Deck peer review &amp; dry run</t>
        </is>
      </c>
      <c r="D11" s="7" t="inlineStr">
        <is>
          <t>Perform (Days 61–90)</t>
        </is>
      </c>
      <c r="E11" s="7" t="n">
        <v>13</v>
      </c>
      <c r="F11" s="7" t="inlineStr">
        <is>
          <t>Buddy + pod</t>
        </is>
      </c>
      <c r="G11" s="7" t="inlineStr"/>
      <c r="H11" s="7" t="inlineStr">
        <is>
          <t>Not started</t>
        </is>
      </c>
      <c r="I11" s="7" t="inlineStr"/>
      <c r="J11" s="7" t="inlineStr"/>
    </row>
    <row r="12">
      <c r="A12" s="7" t="inlineStr">
        <is>
          <t>P1</t>
        </is>
      </c>
      <c r="B12" s="7" t="inlineStr">
        <is>
          <t>Build</t>
        </is>
      </c>
      <c r="C12" s="7" t="inlineStr">
        <is>
          <t>★ Pitch Deck Certification</t>
        </is>
      </c>
      <c r="D12" s="7" t="inlineStr">
        <is>
          <t>Perform (Days 61–90)</t>
        </is>
      </c>
      <c r="E12" s="7" t="n">
        <v>13</v>
      </c>
      <c r="F12" s="7" t="inlineStr">
        <is>
          <t>Panel: pod lead, SE, Enablement, guest leader</t>
        </is>
      </c>
      <c r="G12" s="7" t="inlineStr"/>
      <c r="H12" s="7" t="inlineStr">
        <is>
          <t>Not started</t>
        </is>
      </c>
      <c r="I12" s="7" t="inlineStr"/>
      <c r="J12" s="7" t="inlineStr">
        <is>
          <t>See the certification rubric.</t>
        </is>
      </c>
    </row>
    <row r="13">
      <c r="A13" s="7" t="inlineStr">
        <is>
          <t>P1</t>
        </is>
      </c>
      <c r="B13" s="7" t="inlineStr">
        <is>
          <t>Build</t>
        </is>
      </c>
      <c r="C13" s="7" t="inlineStr">
        <is>
          <t>Day 90 review &amp; graduation to everboarding</t>
        </is>
      </c>
      <c r="D13" s="7" t="inlineStr">
        <is>
          <t>Perform (Days 61–90)</t>
        </is>
      </c>
      <c r="E13" s="7" t="n">
        <v>13</v>
      </c>
      <c r="F13" s="7" t="inlineStr">
        <is>
          <t>Line manager + Enablement</t>
        </is>
      </c>
      <c r="G13" s="7" t="inlineStr"/>
      <c r="H13" s="7" t="inlineStr">
        <is>
          <t>Not started</t>
        </is>
      </c>
      <c r="I13" s="7" t="inlineStr"/>
      <c r="J13" s="7" t="inlineStr">
        <is>
          <t>Ramp review against quota trajectory, certifications logged, and an individual development plan for Days 91–180.</t>
        </is>
      </c>
    </row>
    <row r="14">
      <c r="A14" s="7" t="inlineStr">
        <is>
          <t>P1</t>
        </is>
      </c>
      <c r="B14" s="7" t="inlineStr">
        <is>
          <t>Build</t>
        </is>
      </c>
      <c r="C14" s="7" t="inlineStr">
        <is>
          <t>Yearly recertification: Explore &amp; Pitch</t>
        </is>
      </c>
      <c r="D14" s="7" t="inlineStr">
        <is>
          <t>Everboard (Day 90+)</t>
        </is>
      </c>
      <c r="E14" s="7" t="n">
        <v>14</v>
      </c>
      <c r="F14" s="7" t="inlineStr">
        <is>
          <t>Enablement</t>
        </is>
      </c>
      <c r="G14" s="7" t="inlineStr"/>
      <c r="H14" s="7" t="inlineStr">
        <is>
          <t>Not started</t>
        </is>
      </c>
      <c r="I14" s="7" t="inlineStr"/>
      <c r="J14" s="7" t="inlineStr">
        <is>
          <t>Keeps the bar consistent for tenured AEs (charter pillar 1: recertification rate).</t>
        </is>
      </c>
    </row>
    <row r="15">
      <c r="A15" s="7" t="inlineStr">
        <is>
          <t>P1</t>
        </is>
      </c>
      <c r="B15" s="7" t="inlineStr">
        <is>
          <t>Refresh</t>
        </is>
      </c>
      <c r="C15" s="7" t="inlineStr">
        <is>
          <t>Day 30 Checkpoint: elevator pitch + five-pillar knowledge check</t>
        </is>
      </c>
      <c r="D15" s="7" t="inlineStr">
        <is>
          <t>Learn (Days 15–30)</t>
        </is>
      </c>
      <c r="E15" s="7" t="n">
        <v>4</v>
      </c>
      <c r="F15" s="7" t="inlineStr">
        <is>
          <t>Line manager + Enablement</t>
        </is>
      </c>
      <c r="G15" s="7" t="inlineStr"/>
      <c r="H15" s="7" t="inlineStr">
        <is>
          <t>Not started</t>
        </is>
      </c>
      <c r="I15" s="7" t="inlineStr"/>
      <c r="J15" s="7" t="inlineStr">
        <is>
          <t>Combine today's elevator-pitch reviews and pillar Kahoots into one recorded gate.</t>
        </is>
      </c>
    </row>
    <row r="16">
      <c r="A16" s="7" t="inlineStr">
        <is>
          <t>P2</t>
        </is>
      </c>
      <c r="B16" s="7" t="inlineStr">
        <is>
          <t>Build</t>
        </is>
      </c>
      <c r="C16" s="7" t="inlineStr">
        <is>
          <t>Welcome pack, 90-day plan &amp; personal tracker issued</t>
        </is>
      </c>
      <c r="D16" s="7" t="inlineStr">
        <is>
          <t>Pre-board (Before Day 1)</t>
        </is>
      </c>
      <c r="E16" s="7" t="n">
        <v>0</v>
      </c>
      <c r="F16" s="7" t="inlineStr">
        <is>
          <t>Enablement</t>
        </is>
      </c>
      <c r="G16" s="7" t="inlineStr"/>
      <c r="H16" s="7" t="inlineStr">
        <is>
          <t>Not started</t>
        </is>
      </c>
      <c r="I16" s="7" t="inlineStr"/>
      <c r="J16" s="7" t="inlineStr">
        <is>
          <t>Send the personal tracker (Karlie Chen format) and this 90-day map before Day 1 so the new hire arrives knowing the path.</t>
        </is>
      </c>
    </row>
    <row r="17">
      <c r="A17" s="7" t="inlineStr">
        <is>
          <t>P2</t>
        </is>
      </c>
      <c r="B17" s="7" t="inlineStr">
        <is>
          <t>Build</t>
        </is>
      </c>
      <c r="C17" s="7" t="inlineStr">
        <is>
          <t>Voice of the customer: Head of Payments panel</t>
        </is>
      </c>
      <c r="D17" s="7" t="inlineStr">
        <is>
          <t>Practice (Days 31–60)</t>
        </is>
      </c>
      <c r="E17" s="7" t="n">
        <v>7</v>
      </c>
      <c r="F17" s="7" t="inlineStr">
        <is>
          <t>Jaime Yeager / Jim Cho</t>
        </is>
      </c>
      <c r="G17" s="7" t="inlineStr"/>
      <c r="H17" s="7" t="inlineStr">
        <is>
          <t>Not started</t>
        </is>
      </c>
      <c r="I17" s="7" t="inlineStr"/>
      <c r="J17" s="7" t="inlineStr">
        <is>
          <t>Planned in both SME trackers but never scheduled. Heads of Payments share what resonated in outreach and what didn't.</t>
        </is>
      </c>
    </row>
    <row r="18">
      <c r="A18" s="7" t="inlineStr">
        <is>
          <t>P2</t>
        </is>
      </c>
      <c r="B18" s="7" t="inlineStr">
        <is>
          <t>Build</t>
        </is>
      </c>
      <c r="C18" s="7" t="inlineStr">
        <is>
          <t>Top-rep Q&amp;A, every two weeks</t>
        </is>
      </c>
      <c r="D18" s="7" t="inlineStr">
        <is>
          <t>Practice (Days 31–60)</t>
        </is>
      </c>
      <c r="E18" s="7" t="n">
        <v>7</v>
      </c>
      <c r="F18" s="7" t="inlineStr">
        <is>
          <t>Sam Boukhiam / Louis Taupin</t>
        </is>
      </c>
      <c r="G18" s="7" t="inlineStr"/>
      <c r="H18" s="7" t="inlineStr">
        <is>
          <t>Not started</t>
        </is>
      </c>
      <c r="I18" s="7" t="inlineStr"/>
      <c r="J18" s="7" t="inlineStr">
        <is>
          <t>Planned to 'start in Month 2' but never started. Sam's notes in the Q4 plan are the starting agenda.</t>
        </is>
      </c>
    </row>
    <row r="19">
      <c r="A19" s="7" t="inlineStr">
        <is>
          <t>P2</t>
        </is>
      </c>
      <c r="B19" s="7" t="inlineStr">
        <is>
          <t>Build</t>
        </is>
      </c>
      <c r="C19" s="7" t="inlineStr">
        <is>
          <t>Payment performance metrics that matter (auth rates, declines, tokens, cost)</t>
        </is>
      </c>
      <c r="D19" s="7" t="inlineStr">
        <is>
          <t>Practice (Days 31–60)</t>
        </is>
      </c>
      <c r="E19" s="7" t="n">
        <v>8</v>
      </c>
      <c r="F19" s="7" t="inlineStr">
        <is>
          <t>Solutions Engineering + Product</t>
        </is>
      </c>
      <c r="G19" s="7" t="inlineStr"/>
      <c r="H19" s="7" t="inlineStr">
        <is>
          <t>Not started</t>
        </is>
      </c>
      <c r="I19" s="7" t="inlineStr"/>
      <c r="J19" s="7" t="inlineStr">
        <is>
          <t>The numbers an AE has to quantify in discovery. Builds on the Decline Code and PPA cheat sheets.</t>
        </is>
      </c>
    </row>
    <row r="20">
      <c r="A20" s="7" t="inlineStr">
        <is>
          <t>P2</t>
        </is>
      </c>
      <c r="B20" s="7" t="inlineStr">
        <is>
          <t>Build</t>
        </is>
      </c>
      <c r="C20" s="7" t="inlineStr">
        <is>
          <t>Pricing guidance &amp; take rate</t>
        </is>
      </c>
      <c r="D20" s="7" t="inlineStr">
        <is>
          <t>Perform (Days 61–90)</t>
        </is>
      </c>
      <c r="E20" s="7" t="n">
        <v>10</v>
      </c>
      <c r="F20" s="7" t="inlineStr">
        <is>
          <t>Jim Cho + Francesco Falcone</t>
        </is>
      </c>
      <c r="G20" s="7" t="inlineStr"/>
      <c r="H20" s="7" t="inlineStr">
        <is>
          <t>Not started</t>
        </is>
      </c>
      <c r="I20" s="7" t="inlineStr"/>
      <c r="J20" s="7" t="inlineStr">
        <is>
          <t>Listed in the Q3 SME tracker but never scheduled. Covers guardrails, approvals and how to talk about price.</t>
        </is>
      </c>
    </row>
    <row r="21">
      <c r="A21" s="7" t="inlineStr">
        <is>
          <t>P2</t>
        </is>
      </c>
      <c r="B21" s="7" t="inlineStr">
        <is>
          <t>Build</t>
        </is>
      </c>
      <c r="C21" s="7" t="inlineStr">
        <is>
          <t>Payments economics: interchange++, fee &amp; cost analysis</t>
        </is>
      </c>
      <c r="D21" s="7" t="inlineStr">
        <is>
          <t>Perform (Days 61–90)</t>
        </is>
      </c>
      <c r="E21" s="7" t="n">
        <v>11</v>
      </c>
      <c r="F21" s="7" t="inlineStr">
        <is>
          <t>Deal Management + Solutions Engineering</t>
        </is>
      </c>
      <c r="G21" s="7" t="inlineStr"/>
      <c r="H21" s="7" t="inlineStr">
        <is>
          <t>Not started</t>
        </is>
      </c>
      <c r="I21" s="7" t="inlineStr"/>
      <c r="J21" s="7" t="inlineStr">
        <is>
          <t>The resources exist (Gopuff and Rhino + Jetty cost analyses, L2/L3 interchange) and are tagged 'cover later', but there's no session.</t>
        </is>
      </c>
    </row>
    <row r="22">
      <c r="A22" s="7" t="inlineStr">
        <is>
          <t>P2</t>
        </is>
      </c>
      <c r="B22" s="7" t="inlineStr">
        <is>
          <t>Build</t>
        </is>
      </c>
      <c r="C22" s="7" t="inlineStr">
        <is>
          <t>Trade, deal structure &amp; negotiation case studies</t>
        </is>
      </c>
      <c r="D22" s="7" t="inlineStr">
        <is>
          <t>Perform (Days 61–90)</t>
        </is>
      </c>
      <c r="E22" s="7" t="n">
        <v>11</v>
      </c>
      <c r="F22" s="7" t="inlineStr">
        <is>
          <t>Pod lead (TBD)</t>
        </is>
      </c>
      <c r="G22" s="7" t="inlineStr"/>
      <c r="H22" s="7" t="inlineStr">
        <is>
          <t>Not started</t>
        </is>
      </c>
      <c r="I22" s="7" t="inlineStr"/>
      <c r="J22" s="7" t="inlineStr">
        <is>
          <t>Negotiation, getting pricing approved, and minimum billing. The owner is still TBD in the SME tracker.</t>
        </is>
      </c>
    </row>
    <row r="23">
      <c r="A23" s="7" t="inlineStr">
        <is>
          <t>P2</t>
        </is>
      </c>
      <c r="B23" s="7" t="inlineStr">
        <is>
          <t>Refresh</t>
        </is>
      </c>
      <c r="C23" s="7" t="inlineStr">
        <is>
          <t>Tool access pre-provisioned (Salesforce, Clari, Apollo, LinkedIn Sales Nav, Highspot, Glean)</t>
        </is>
      </c>
      <c r="D23" s="7" t="inlineStr">
        <is>
          <t>Pre-board (Before Day 1)</t>
        </is>
      </c>
      <c r="E23" s="7" t="n">
        <v>0</v>
      </c>
      <c r="F23" s="7" t="inlineStr">
        <is>
          <t>Enablement + IT</t>
        </is>
      </c>
      <c r="G23" s="7" t="inlineStr"/>
      <c r="H23" s="7" t="inlineStr">
        <is>
          <t>Not started</t>
        </is>
      </c>
      <c r="I23" s="7" t="inlineStr"/>
      <c r="J23" s="7" t="inlineStr">
        <is>
          <t>Today this takes a Day 1 session. Request access at offer-accept so Day 1 can go to people and context.</t>
        </is>
      </c>
    </row>
    <row r="24">
      <c r="A24" s="7" t="inlineStr">
        <is>
          <t>P2</t>
        </is>
      </c>
      <c r="B24" s="7" t="inlineStr">
        <is>
          <t>Refresh</t>
        </is>
      </c>
      <c r="C24" s="7" t="inlineStr">
        <is>
          <t>Buddy assigned + manager welcome call</t>
        </is>
      </c>
      <c r="D24" s="7" t="inlineStr">
        <is>
          <t>Pre-board (Before Day 1)</t>
        </is>
      </c>
      <c r="E24" s="7" t="n">
        <v>0</v>
      </c>
      <c r="F24" s="7" t="inlineStr">
        <is>
          <t>Line manager</t>
        </is>
      </c>
      <c r="G24" s="7" t="inlineStr"/>
      <c r="H24" s="7" t="inlineStr">
        <is>
          <t>Not started</t>
        </is>
      </c>
      <c r="I24" s="7" t="inlineStr"/>
      <c r="J24" s="7" t="inlineStr">
        <is>
          <t>Buddies are used informally (elevator pitch, role plays). Formalise it with a one-page buddy guide and a weekly 30-minute slot.</t>
        </is>
      </c>
    </row>
    <row r="25">
      <c r="A25" s="7" t="inlineStr">
        <is>
          <t>P2</t>
        </is>
      </c>
      <c r="B25" s="7" t="inlineStr">
        <is>
          <t>Refresh</t>
        </is>
      </c>
      <c r="C25" s="7" t="inlineStr">
        <is>
          <t>Finding answers: Highspot, Confluence &amp; Glean</t>
        </is>
      </c>
      <c r="D25" s="7" t="inlineStr">
        <is>
          <t>Land (Days 1–14)</t>
        </is>
      </c>
      <c r="E25" s="7" t="n">
        <v>1</v>
      </c>
      <c r="F25" s="7" t="inlineStr">
        <is>
          <t>Enablement</t>
        </is>
      </c>
      <c r="G25" s="7" t="inlineStr"/>
      <c r="H25" s="7" t="inlineStr">
        <is>
          <t>Not started</t>
        </is>
      </c>
      <c r="I25" s="7" t="inlineStr"/>
      <c r="J25" s="7" t="inlineStr">
        <is>
          <t>Update for the Highspot→Drive transition and Glean adoption (charter priority 3).</t>
        </is>
      </c>
    </row>
    <row r="26">
      <c r="A26" s="7" t="inlineStr">
        <is>
          <t>P2</t>
        </is>
      </c>
      <c r="B26" s="7" t="inlineStr">
        <is>
          <t>Refresh</t>
        </is>
      </c>
      <c r="C26" s="7" t="inlineStr">
        <is>
          <t>Payments Academy: Foundations modules 1–5</t>
        </is>
      </c>
      <c r="D26" s="7" t="inlineStr">
        <is>
          <t>Land (Days 1–14)</t>
        </is>
      </c>
      <c r="E26" s="7" t="n">
        <v>2</v>
      </c>
      <c r="F26" s="7" t="inlineStr">
        <is>
          <t>Self-directed</t>
        </is>
      </c>
      <c r="G26" s="7" t="inlineStr"/>
      <c r="H26" s="7" t="inlineStr">
        <is>
          <t>Not started</t>
        </is>
      </c>
      <c r="I26" s="7" t="inlineStr"/>
      <c r="J26" s="7" t="inlineStr">
        <is>
          <t>Moved from Day 2 to Week 2 and paced at about 30 minutes a day, after the 60-minute primer, with a Friday live debrief.</t>
        </is>
      </c>
    </row>
    <row r="27">
      <c r="A27" s="7" t="inlineStr">
        <is>
          <t>P2</t>
        </is>
      </c>
      <c r="B27" s="7" t="inlineStr">
        <is>
          <t>Refresh</t>
        </is>
      </c>
      <c r="C27" s="7" t="inlineStr">
        <is>
          <t>Payments Academy: Foundations 6–10 + live debrief</t>
        </is>
      </c>
      <c r="D27" s="7" t="inlineStr">
        <is>
          <t>Learn (Days 15–30)</t>
        </is>
      </c>
      <c r="E27" s="7" t="n">
        <v>3</v>
      </c>
      <c r="F27" s="7" t="inlineStr">
        <is>
          <t>Enablement</t>
        </is>
      </c>
      <c r="G27" s="7" t="inlineStr"/>
      <c r="H27" s="7" t="inlineStr">
        <is>
          <t>Not started</t>
        </is>
      </c>
      <c r="I27" s="7" t="inlineStr"/>
      <c r="J27" s="7" t="inlineStr">
        <is>
          <t>Finish the Foundations here, not in Week 1. The debrief turns the modules into talk-tracks.</t>
        </is>
      </c>
    </row>
    <row r="28">
      <c r="A28" s="7" t="inlineStr">
        <is>
          <t>P2</t>
        </is>
      </c>
      <c r="B28" s="7" t="inlineStr">
        <is>
          <t>Refresh</t>
        </is>
      </c>
      <c r="C28" s="7" t="inlineStr">
        <is>
          <t>Pillars in live deals: Connect &amp; Move (30 min each)</t>
        </is>
      </c>
      <c r="D28" s="7" t="inlineStr">
        <is>
          <t>Learn (Days 15–30)</t>
        </is>
      </c>
      <c r="E28" s="7" t="n">
        <v>3</v>
      </c>
      <c r="F28" s="7" t="inlineStr">
        <is>
          <t>Pod leads</t>
        </is>
      </c>
      <c r="G28" s="7" t="inlineStr"/>
      <c r="H28" s="7" t="inlineStr">
        <is>
          <t>Not started</t>
        </is>
      </c>
      <c r="I28" s="7" t="inlineStr"/>
      <c r="J28" s="7" t="inlineStr">
        <is>
          <t>Replace the generic 'sales perspective' sessions with 30-minute walk-throughs of live deals, built on a vertical use case (Francesco's feedback).</t>
        </is>
      </c>
    </row>
    <row r="29">
      <c r="A29" s="7" t="inlineStr">
        <is>
          <t>P2</t>
        </is>
      </c>
      <c r="B29" s="7" t="inlineStr">
        <is>
          <t>Refresh</t>
        </is>
      </c>
      <c r="C29" s="7" t="inlineStr">
        <is>
          <t>Pillars in live deals: Protect, Boost &amp; Manage</t>
        </is>
      </c>
      <c r="D29" s="7" t="inlineStr">
        <is>
          <t>Learn (Days 15–30)</t>
        </is>
      </c>
      <c r="E29" s="7" t="n">
        <v>4</v>
      </c>
      <c r="F29" s="7" t="inlineStr">
        <is>
          <t>Pod leads</t>
        </is>
      </c>
      <c r="G29" s="7" t="inlineStr"/>
      <c r="H29" s="7" t="inlineStr">
        <is>
          <t>Not started</t>
        </is>
      </c>
      <c r="I29" s="7" t="inlineStr"/>
      <c r="J29" s="7" t="inlineStr">
        <is>
          <t>Same 30-minute live-deal format as Week 3.</t>
        </is>
      </c>
    </row>
    <row r="30">
      <c r="A30" s="7" t="inlineStr">
        <is>
          <t>P2</t>
        </is>
      </c>
      <c r="B30" s="7" t="inlineStr">
        <is>
          <t>Refresh</t>
        </is>
      </c>
      <c r="C30" s="7" t="inlineStr">
        <is>
          <t>Visa Direct: AFTs &amp; card payouts</t>
        </is>
      </c>
      <c r="D30" s="7" t="inlineStr">
        <is>
          <t>Practice (Days 31–60)</t>
        </is>
      </c>
      <c r="E30" s="7" t="n">
        <v>6</v>
      </c>
      <c r="F30" s="7" t="inlineStr">
        <is>
          <t>Amber McClure</t>
        </is>
      </c>
      <c r="G30" s="7" t="inlineStr"/>
      <c r="H30" s="7" t="inlineStr">
        <is>
          <t>Not started</t>
        </is>
      </c>
      <c r="I30" s="7" t="inlineStr"/>
      <c r="J30" s="7" t="inlineStr">
        <is>
          <t>Paused while partnership terms are revamped. Bring it back when the new terms are ready.</t>
        </is>
      </c>
    </row>
    <row r="31">
      <c r="A31" s="7" t="inlineStr">
        <is>
          <t>P2</t>
        </is>
      </c>
      <c r="B31" s="7" t="inlineStr">
        <is>
          <t>Refresh</t>
        </is>
      </c>
      <c r="C31" s="7" t="inlineStr">
        <is>
          <t>Vertical deep dives: Insurance and Gaming &amp; Gambling</t>
        </is>
      </c>
      <c r="D31" s="7" t="inlineStr">
        <is>
          <t>Practice (Days 31–60)</t>
        </is>
      </c>
      <c r="E31" s="7" t="n">
        <v>7</v>
      </c>
      <c r="F31" s="7" t="inlineStr">
        <is>
          <t>Olivia Smith / Aaron Popack</t>
        </is>
      </c>
      <c r="G31" s="7" t="inlineStr"/>
      <c r="H31" s="7" t="inlineStr">
        <is>
          <t>Not started</t>
        </is>
      </c>
      <c r="I31" s="7" t="inlineStr"/>
      <c r="J31" s="7" t="inlineStr">
        <is>
          <t>Both on hold ('wait for now'). Run Insurance virtually first.</t>
        </is>
      </c>
    </row>
    <row r="32">
      <c r="A32" s="7" t="inlineStr">
        <is>
          <t>P2</t>
        </is>
      </c>
      <c r="B32" s="7" t="inlineStr">
        <is>
          <t>Refresh</t>
        </is>
      </c>
      <c r="C32" s="7" t="inlineStr">
        <is>
          <t>Competitive deal clinic + refreshed battlecards</t>
        </is>
      </c>
      <c r="D32" s="7" t="inlineStr">
        <is>
          <t>Practice (Days 31–60)</t>
        </is>
      </c>
      <c r="E32" s="7" t="n">
        <v>8</v>
      </c>
      <c r="F32" s="7" t="inlineStr">
        <is>
          <t>Jim Cho</t>
        </is>
      </c>
      <c r="G32" s="7" t="inlineStr"/>
      <c r="H32" s="7" t="inlineStr">
        <is>
          <t>Not started</t>
        </is>
      </c>
      <c r="I32" s="7" t="inlineStr"/>
      <c r="J32" s="7" t="inlineStr">
        <is>
          <t>The 'Why Checkout Wins' battlecard is flagged as outdated. Release refreshed battlecards with this session.</t>
        </is>
      </c>
    </row>
    <row r="33">
      <c r="A33" s="7" t="inlineStr">
        <is>
          <t>P2</t>
        </is>
      </c>
      <c r="B33" s="7" t="inlineStr">
        <is>
          <t>Refresh</t>
        </is>
      </c>
      <c r="C33" s="7" t="inlineStr">
        <is>
          <t>Explore call gametapes: what great sounds like</t>
        </is>
      </c>
      <c r="D33" s="7" t="inlineStr">
        <is>
          <t>Practice (Days 31–60)</t>
        </is>
      </c>
      <c r="E33" s="7" t="n">
        <v>8</v>
      </c>
      <c r="F33" s="7" t="inlineStr">
        <is>
          <t>Jim Cho + Francesco Falcone</t>
        </is>
      </c>
      <c r="G33" s="7" t="inlineStr"/>
      <c r="H33" s="7" t="inlineStr">
        <is>
          <t>Not started</t>
        </is>
      </c>
      <c r="I33" s="7" t="inlineStr"/>
      <c r="J33" s="7" t="inlineStr">
        <is>
          <t>Curate an Explore-only playlist in the Clari USA call repo, with timestamps to listen for.</t>
        </is>
      </c>
    </row>
    <row r="34">
      <c r="A34" s="7" t="inlineStr">
        <is>
          <t>P2</t>
        </is>
      </c>
      <c r="B34" s="7" t="inlineStr">
        <is>
          <t>Refresh</t>
        </is>
      </c>
      <c r="C34" s="7" t="inlineStr">
        <is>
          <t>Objection handling drill + RevWay 10</t>
        </is>
      </c>
      <c r="D34" s="7" t="inlineStr">
        <is>
          <t>Perform (Days 61–90)</t>
        </is>
      </c>
      <c r="E34" s="7" t="n">
        <v>11</v>
      </c>
      <c r="F34" s="7" t="inlineStr">
        <is>
          <t>Enablement</t>
        </is>
      </c>
      <c r="G34" s="7" t="inlineStr"/>
      <c r="H34" s="7" t="inlineStr">
        <is>
          <t>Not started</t>
        </is>
      </c>
      <c r="I34" s="7" t="inlineStr"/>
      <c r="J34" s="7" t="inlineStr">
        <is>
          <t>Self-paced only today. Add a live drill that uses the competitive defense playbook.</t>
        </is>
      </c>
    </row>
    <row r="35">
      <c r="A35" s="7" t="inlineStr">
        <is>
          <t>P2</t>
        </is>
      </c>
      <c r="B35" s="7" t="inlineStr">
        <is>
          <t>Refresh</t>
        </is>
      </c>
      <c r="C35" s="7" t="inlineStr">
        <is>
          <t>MBO, quota mechanics &amp; your path to quota</t>
        </is>
      </c>
      <c r="D35" s="7" t="inlineStr">
        <is>
          <t>Perform (Days 61–90)</t>
        </is>
      </c>
      <c r="E35" s="7" t="n">
        <v>12</v>
      </c>
      <c r="F35" s="7" t="inlineStr">
        <is>
          <t>Francesco Falcone + Jim Cho</t>
        </is>
      </c>
      <c r="G35" s="7" t="inlineStr"/>
      <c r="H35" s="7" t="inlineStr">
        <is>
          <t>Not started</t>
        </is>
      </c>
      <c r="I35" s="7" t="inlineStr"/>
      <c r="J35" s="7" t="inlineStr">
        <is>
          <t>Reschedule to 60 minutes with Jim, and invite newer hires.</t>
        </is>
      </c>
    </row>
  </sheetData>
  <autoFilter ref="A3:J35"/>
  <conditionalFormatting sqref="B4:B500">
    <cfRule type="cellIs" priority="1" operator="equal" dxfId="0">
      <formula>"Ready"</formula>
    </cfRule>
    <cfRule type="cellIs" priority="2" operator="equal" dxfId="1">
      <formula>"Refresh"</formula>
    </cfRule>
    <cfRule type="cellIs" priority="3" operator="equal" dxfId="2">
      <formula>"Build"</formula>
    </cfRule>
  </conditionalFormatting>
  <conditionalFormatting sqref="H4:H500">
    <cfRule type="cellIs" priority="4" operator="equal" dxfId="0">
      <formula>"Done"</formula>
    </cfRule>
  </conditionalFormatting>
  <dataValidations count="1">
    <dataValidation sqref="H4:H500" showDropDown="0" showInputMessage="0" showErrorMessage="0" allowBlank="0" type="list">
      <formula1>"Not started,In design,In review,Pilot,Done"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12" customWidth="1" min="3" max="3"/>
    <col width="50" customWidth="1" min="4" max="4"/>
  </cols>
  <sheetData>
    <row r="1">
      <c r="A1" s="8" t="inlineStr">
        <is>
          <t>Explore Call Certification</t>
        </is>
      </c>
    </row>
    <row r="2">
      <c r="A2" s="3" t="inlineStr">
        <is>
          <t>When</t>
        </is>
      </c>
      <c r="B2" s="5" t="inlineStr">
        <is>
          <t>Day 60 (Week 9)</t>
        </is>
      </c>
    </row>
    <row r="3">
      <c r="A3" s="3" t="inlineStr">
        <is>
          <t>Format</t>
        </is>
      </c>
      <c r="B3" s="5" t="inlineStr">
        <is>
          <t>A 30-minute live, simulated Explore call. The assessor plays a scripted payments persona (e.g. Head of Payments at a mid-market subscription merchant). Recorded in Clari.</t>
        </is>
      </c>
    </row>
    <row r="4">
      <c r="A4" s="3" t="inlineStr">
        <is>
          <t>Assessors</t>
        </is>
      </c>
      <c r="B4" s="5" t="inlineStr">
        <is>
          <t>Pod lead + Enablement (calibrated on the same rubric)</t>
        </is>
      </c>
    </row>
    <row r="5">
      <c r="A5" s="3" t="inlineStr">
        <is>
          <t>Pass mark</t>
        </is>
      </c>
      <c r="B5" s="5" t="inlineStr">
        <is>
          <t>≥ 80% overall (28/35) and no section below 3/5. One retake within 10 working days, with coaching.</t>
        </is>
      </c>
    </row>
    <row r="7">
      <c r="A7" s="3" t="inlineStr">
        <is>
          <t>AE name</t>
        </is>
      </c>
    </row>
    <row r="8">
      <c r="A8" s="3" t="inlineStr">
        <is>
          <t>Assessor</t>
        </is>
      </c>
    </row>
    <row r="9">
      <c r="A9" s="3" t="inlineStr">
        <is>
          <t>Date</t>
        </is>
      </c>
    </row>
    <row r="11">
      <c r="A11" s="4" t="inlineStr">
        <is>
          <t>Section</t>
        </is>
      </c>
      <c r="B11" s="4" t="inlineStr">
        <is>
          <t>What good looks like</t>
        </is>
      </c>
      <c r="C11" s="4" t="inlineStr">
        <is>
          <t>Score (1–5)</t>
        </is>
      </c>
      <c r="D11" s="4" t="inlineStr">
        <is>
          <t>Evidence / coaching notes</t>
        </is>
      </c>
    </row>
    <row r="12">
      <c r="A12" s="5" t="inlineStr">
        <is>
          <t>Pre-call research &amp; hypothesis</t>
        </is>
      </c>
      <c r="B12" s="5" t="inlineStr">
        <is>
          <t>Knows the merchant's model, footprint, likely PSP set-up and a starting hypothesis</t>
        </is>
      </c>
    </row>
    <row r="13">
      <c r="A13" s="5" t="inlineStr">
        <is>
          <t>Opening &amp; upfront contract</t>
        </is>
      </c>
      <c r="B13" s="5" t="inlineStr">
        <is>
          <t>Clear agenda, time check and agreed outcome for the call</t>
        </is>
      </c>
    </row>
    <row r="14">
      <c r="A14" s="5" t="inlineStr">
        <is>
          <t>DEPTH questioning funnel</t>
        </is>
      </c>
      <c r="B14" s="5" t="inlineStr">
        <is>
          <t>Moves from broad to specific, with open questions and no early pitching</t>
        </is>
      </c>
    </row>
    <row r="15">
      <c r="A15" s="5" t="inlineStr">
        <is>
          <t>Payments pain quantified</t>
        </is>
      </c>
      <c r="B15" s="5" t="inlineStr">
        <is>
          <t>Uncovers and sizes at least one pain: auth rate, fraud, cost, APMs or payouts</t>
        </is>
      </c>
    </row>
    <row r="16">
      <c r="A16" s="5" t="inlineStr">
        <is>
          <t>Pillar mapping</t>
        </is>
      </c>
      <c r="B16" s="5" t="inlineStr">
        <is>
          <t>Links the pains to the right Checkout pillar and capability</t>
        </is>
      </c>
    </row>
    <row r="17">
      <c r="A17" s="5" t="inlineStr">
        <is>
          <t>Listening &amp; summarising</t>
        </is>
      </c>
      <c r="B17" s="5" t="inlineStr">
        <is>
          <t>Listens far more than talks, and plays the summary back accurately</t>
        </is>
      </c>
    </row>
    <row r="18">
      <c r="A18" s="5" t="inlineStr">
        <is>
          <t>Committed next step</t>
        </is>
      </c>
      <c r="B18" s="5" t="inlineStr">
        <is>
          <t>A dated next step with the right stakeholders</t>
        </is>
      </c>
    </row>
    <row r="20">
      <c r="A20" s="3" t="inlineStr">
        <is>
          <t>Total</t>
        </is>
      </c>
      <c r="C20">
        <f>SUM(C12:C18)</f>
        <v/>
      </c>
      <c r="D20" t="inlineStr">
        <is>
          <t>out of 35</t>
        </is>
      </c>
    </row>
    <row r="21">
      <c r="A21" s="3" t="inlineStr">
        <is>
          <t>Result</t>
        </is>
      </c>
      <c r="C21">
        <f>IF(COUNT(C12:C18)&lt;7,"Incomplete",IF(AND(SUM(C12:C18)&gt;=35*0.8,MIN(C12:C18)&gt;=3),"PASS","RETAKE"))</f>
        <v/>
      </c>
    </row>
  </sheetData>
  <conditionalFormatting sqref="C21">
    <cfRule type="cellIs" priority="1" operator="equal" dxfId="0">
      <formula>"PASS"</formula>
    </cfRule>
    <cfRule type="cellIs" priority="2" operator="equal" dxfId="2">
      <formula>"RETAKE"</formula>
    </cfRule>
  </conditionalFormatting>
  <dataValidations count="1">
    <dataValidation sqref="C12:C18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12" customWidth="1" min="3" max="3"/>
    <col width="50" customWidth="1" min="4" max="4"/>
  </cols>
  <sheetData>
    <row r="1">
      <c r="A1" s="8" t="inlineStr">
        <is>
          <t>Pitch Deck Certification</t>
        </is>
      </c>
    </row>
    <row r="2">
      <c r="A2" s="3" t="inlineStr">
        <is>
          <t>When</t>
        </is>
      </c>
      <c r="B2" s="5" t="inlineStr">
        <is>
          <t>Day 90 (Week 13)</t>
        </is>
      </c>
    </row>
    <row r="3">
      <c r="A3" s="3" t="inlineStr">
        <is>
          <t>Format</t>
        </is>
      </c>
      <c r="B3" s="5" t="inlineStr">
        <is>
          <t>A tailored deck for a real territory account: a 20-minute presentation plus 10 minutes of panel Q&amp;A, with the panel playing the buying committee.</t>
        </is>
      </c>
    </row>
    <row r="4">
      <c r="A4" s="3" t="inlineStr">
        <is>
          <t>Assessors</t>
        </is>
      </c>
      <c r="B4" s="5" t="inlineStr">
        <is>
          <t>Pod lead, Solutions Engineer, Enablement, plus a guest leader</t>
        </is>
      </c>
    </row>
    <row r="5">
      <c r="A5" s="3" t="inlineStr">
        <is>
          <t>Pass mark</t>
        </is>
      </c>
      <c r="B5" s="5" t="inlineStr">
        <is>
          <t>≥ 80% overall (32/40) and no section below 3/5. Exemplary decks go into the Great Decks library.</t>
        </is>
      </c>
    </row>
    <row r="7">
      <c r="A7" s="3" t="inlineStr">
        <is>
          <t>AE name</t>
        </is>
      </c>
    </row>
    <row r="8">
      <c r="A8" s="3" t="inlineStr">
        <is>
          <t>Assessor</t>
        </is>
      </c>
    </row>
    <row r="9">
      <c r="A9" s="3" t="inlineStr">
        <is>
          <t>Date</t>
        </is>
      </c>
    </row>
    <row r="11">
      <c r="A11" s="4" t="inlineStr">
        <is>
          <t>Section</t>
        </is>
      </c>
      <c r="B11" s="4" t="inlineStr">
        <is>
          <t>What good looks like</t>
        </is>
      </c>
      <c r="C11" s="4" t="inlineStr">
        <is>
          <t>Score (1–5)</t>
        </is>
      </c>
      <c r="D11" s="4" t="inlineStr">
        <is>
          <t>Evidence / coaching notes</t>
        </is>
      </c>
    </row>
    <row r="12">
      <c r="A12" s="5" t="inlineStr">
        <is>
          <t>Merchant insight</t>
        </is>
      </c>
      <c r="B12" s="5" t="inlineStr">
        <is>
          <t>Opens with the merchant's world and priorities, not ours</t>
        </is>
      </c>
    </row>
    <row r="13">
      <c r="A13" s="5" t="inlineStr">
        <is>
          <t>Value narrative</t>
        </is>
      </c>
      <c r="B13" s="5" t="inlineStr">
        <is>
          <t>Story connects their goals to Checkout pillars with clear outcomes</t>
        </is>
      </c>
    </row>
    <row r="14">
      <c r="A14" s="5" t="inlineStr">
        <is>
          <t>Business case</t>
        </is>
      </c>
      <c r="B14" s="5" t="inlineStr">
        <is>
          <t>Quantified value (auth uplift, cost, fraud, ops) using their data</t>
        </is>
      </c>
    </row>
    <row r="15">
      <c r="A15" s="5" t="inlineStr">
        <is>
          <t>Proof</t>
        </is>
      </c>
      <c r="B15" s="5" t="inlineStr">
        <is>
          <t>Relevant case studies, references or NPS evidence for the vertical</t>
        </is>
      </c>
    </row>
    <row r="16">
      <c r="A16" s="5" t="inlineStr">
        <is>
          <t>Competitive differentiation</t>
        </is>
      </c>
      <c r="B16" s="5" t="inlineStr">
        <is>
          <t>Positions against the incumbent without disparaging them</t>
        </is>
      </c>
    </row>
    <row r="17">
      <c r="A17" s="5" t="inlineStr">
        <is>
          <t>Pricing narrative</t>
        </is>
      </c>
      <c r="B17" s="5" t="inlineStr">
        <is>
          <t>Commercials framed within guidance, linked to value</t>
        </is>
      </c>
    </row>
    <row r="18">
      <c r="A18" s="5" t="inlineStr">
        <is>
          <t>Mutual action plan</t>
        </is>
      </c>
      <c r="B18" s="5" t="inlineStr">
        <is>
          <t>Clear path to signature, integration and go-live</t>
        </is>
      </c>
    </row>
    <row r="19">
      <c r="A19" s="5" t="inlineStr">
        <is>
          <t>Executive presence &amp; Q&amp;A</t>
        </is>
      </c>
      <c r="B19" s="5" t="inlineStr">
        <is>
          <t>Confident, concise, handles objections calmly</t>
        </is>
      </c>
    </row>
    <row r="21">
      <c r="A21" s="3" t="inlineStr">
        <is>
          <t>Total</t>
        </is>
      </c>
      <c r="C21">
        <f>SUM(C12:C19)</f>
        <v/>
      </c>
      <c r="D21" t="inlineStr">
        <is>
          <t>out of 40</t>
        </is>
      </c>
    </row>
    <row r="22">
      <c r="A22" s="3" t="inlineStr">
        <is>
          <t>Result</t>
        </is>
      </c>
      <c r="C22">
        <f>IF(COUNT(C12:C19)&lt;8,"Incomplete",IF(AND(SUM(C12:C19)&gt;=40*0.8,MIN(C12:C19)&gt;=3),"PASS","RETAKE"))</f>
        <v/>
      </c>
    </row>
  </sheetData>
  <conditionalFormatting sqref="C22">
    <cfRule type="cellIs" priority="1" operator="equal" dxfId="0">
      <formula>"PASS"</formula>
    </cfRule>
    <cfRule type="cellIs" priority="2" operator="equal" dxfId="2">
      <formula>"RETAKE"</formula>
    </cfRule>
  </conditionalFormatting>
  <dataValidations count="1">
    <dataValidation sqref="C12:C19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6" customWidth="1" min="3" max="3"/>
    <col width="13" customWidth="1" min="4" max="4"/>
    <col width="30" customWidth="1" min="5" max="5"/>
    <col width="11" customWidth="1" min="6" max="6"/>
    <col width="40" customWidth="1" min="7" max="7"/>
  </cols>
  <sheetData>
    <row r="1">
      <c r="A1" s="8" t="inlineStr">
        <is>
          <t>AE Onboarding Tracker: make a copy for each new hire</t>
        </is>
      </c>
    </row>
    <row r="2">
      <c r="F2" s="9" t="inlineStr">
        <is>
          <t>Progress</t>
        </is>
      </c>
      <c r="G2" s="10">
        <f>IFERROR(COUNTIF(F9:F87,TRUE)/COUNTA(C9:C87),0)</f>
        <v/>
      </c>
    </row>
    <row r="3">
      <c r="A3" s="3" t="inlineStr">
        <is>
          <t>Name:</t>
        </is>
      </c>
      <c r="D3" s="3" t="inlineStr">
        <is>
          <t>Region:</t>
        </is>
      </c>
    </row>
    <row r="4">
      <c r="A4" s="3" t="inlineStr">
        <is>
          <t>Job title:</t>
        </is>
      </c>
      <c r="D4" s="3" t="inlineStr">
        <is>
          <t>Line manager:</t>
        </is>
      </c>
    </row>
    <row r="5">
      <c r="A5" s="3" t="inlineStr">
        <is>
          <t>Start date:</t>
        </is>
      </c>
      <c r="B5" s="11" t="n"/>
      <c r="D5" s="3" t="inlineStr">
        <is>
          <t>Enablement manager:</t>
        </is>
      </c>
    </row>
    <row r="6">
      <c r="A6" s="3" t="inlineStr">
        <is>
          <t>Buddy:</t>
        </is>
      </c>
      <c r="D6" s="3" t="inlineStr">
        <is>
          <t>Cohort:</t>
        </is>
      </c>
    </row>
    <row r="8">
      <c r="A8" s="4" t="inlineStr">
        <is>
          <t>Week</t>
        </is>
      </c>
      <c r="B8" s="4" t="inlineStr">
        <is>
          <t>Target date</t>
        </is>
      </c>
      <c r="C8" s="4" t="inlineStr">
        <is>
          <t>Session</t>
        </is>
      </c>
      <c r="D8" s="4" t="inlineStr">
        <is>
          <t>Format</t>
        </is>
      </c>
      <c r="E8" s="4" t="inlineStr">
        <is>
          <t>Owner</t>
        </is>
      </c>
      <c r="F8" s="4" t="inlineStr">
        <is>
          <t>Complete?</t>
        </is>
      </c>
      <c r="G8" s="4" t="inlineStr">
        <is>
          <t>My notes</t>
        </is>
      </c>
    </row>
    <row r="9">
      <c r="A9" t="inlineStr">
        <is>
          <t>Pre-board</t>
        </is>
      </c>
      <c r="B9" s="12">
        <f>IF($B$5="","",$B$5-3)</f>
        <v/>
      </c>
      <c r="C9" s="5" t="inlineStr">
        <is>
          <t>Welcome pack, 90-day plan &amp; personal tracker issued</t>
        </is>
      </c>
      <c r="D9" t="inlineStr">
        <is>
          <t>Self-paced</t>
        </is>
      </c>
      <c r="E9" s="5" t="inlineStr">
        <is>
          <t>Enablement</t>
        </is>
      </c>
      <c r="F9" t="b">
        <v>0</v>
      </c>
    </row>
    <row r="10">
      <c r="A10" t="inlineStr">
        <is>
          <t>Pre-board</t>
        </is>
      </c>
      <c r="B10" s="12">
        <f>IF($B$5="","",$B$5-3)</f>
        <v/>
      </c>
      <c r="C10" s="5" t="inlineStr">
        <is>
          <t>Tool access pre-provisioned (Salesforce, Clari, Apollo, LinkedIn Sales Nav, Highspot, Glean)</t>
        </is>
      </c>
      <c r="D10" t="inlineStr">
        <is>
          <t>Self-paced</t>
        </is>
      </c>
      <c r="E10" s="5" t="inlineStr">
        <is>
          <t>Enablement + IT</t>
        </is>
      </c>
      <c r="F10" t="b">
        <v>0</v>
      </c>
    </row>
    <row r="11">
      <c r="A11" t="inlineStr">
        <is>
          <t>Pre-board</t>
        </is>
      </c>
      <c r="B11" s="12">
        <f>IF($B$5="","",$B$5-3)</f>
        <v/>
      </c>
      <c r="C11" s="5" t="inlineStr">
        <is>
          <t>Buddy assigned + manager welcome call</t>
        </is>
      </c>
      <c r="D11" t="inlineStr">
        <is>
          <t>Live</t>
        </is>
      </c>
      <c r="E11" s="5" t="inlineStr">
        <is>
          <t>Line manager</t>
        </is>
      </c>
      <c r="F11" t="b">
        <v>0</v>
      </c>
    </row>
    <row r="12">
      <c r="A12" t="inlineStr">
        <is>
          <t>Week 1</t>
        </is>
      </c>
      <c r="B12" s="12">
        <f>IF($B$5="","",$B$5+4)</f>
        <v/>
      </c>
      <c r="C12" s="5" t="inlineStr">
        <is>
          <t>IT, People &amp; Benefits inductions</t>
        </is>
      </c>
      <c r="D12" t="inlineStr">
        <is>
          <t>Live</t>
        </is>
      </c>
      <c r="E12" s="5" t="inlineStr">
        <is>
          <t>People Team</t>
        </is>
      </c>
      <c r="F12" t="b">
        <v>0</v>
      </c>
    </row>
    <row r="13">
      <c r="A13" t="inlineStr">
        <is>
          <t>Week 1</t>
        </is>
      </c>
      <c r="B13" s="12">
        <f>IF($B$5="","",$B$5+4)</f>
        <v/>
      </c>
      <c r="C13" s="5" t="inlineStr">
        <is>
          <t>Your onboarding plan: the 30/60/90 kickoff</t>
        </is>
      </c>
      <c r="D13" t="inlineStr">
        <is>
          <t>Live</t>
        </is>
      </c>
      <c r="E13" s="5" t="inlineStr">
        <is>
          <t>Enablement</t>
        </is>
      </c>
      <c r="F13" t="b">
        <v>0</v>
      </c>
    </row>
    <row r="14">
      <c r="A14" t="inlineStr">
        <is>
          <t>Week 1</t>
        </is>
      </c>
      <c r="B14" s="12">
        <f>IF($B$5="","",$B$5+4)</f>
        <v/>
      </c>
      <c r="C14" s="5" t="inlineStr">
        <is>
          <t>Intro to Checkout's Revenue Org (Global + NORAM)</t>
        </is>
      </c>
      <c r="D14" t="inlineStr">
        <is>
          <t>Live</t>
        </is>
      </c>
      <c r="E14" s="5" t="inlineStr">
        <is>
          <t>Michel Tornabene</t>
        </is>
      </c>
      <c r="F14" t="b">
        <v>0</v>
      </c>
    </row>
    <row r="15">
      <c r="A15" t="inlineStr">
        <is>
          <t>Week 1</t>
        </is>
      </c>
      <c r="B15" s="12">
        <f>IF($B$5="","",$B$5+4)</f>
        <v/>
      </c>
      <c r="C15" s="5" t="inlineStr">
        <is>
          <t>Mandatory compliance training (Nova)</t>
        </is>
      </c>
      <c r="D15" t="inlineStr">
        <is>
          <t>Self-paced</t>
        </is>
      </c>
      <c r="E15" s="5" t="inlineStr">
        <is>
          <t>New hire</t>
        </is>
      </c>
      <c r="F15" t="b">
        <v>0</v>
      </c>
    </row>
    <row r="16">
      <c r="A16" t="inlineStr">
        <is>
          <t>Week 1</t>
        </is>
      </c>
      <c r="B16" s="12">
        <f>IF($B$5="","",$B$5+4)</f>
        <v/>
      </c>
      <c r="C16" s="5" t="inlineStr">
        <is>
          <t>Payments at Checkout in 60 minutes</t>
        </is>
      </c>
      <c r="D16" t="inlineStr">
        <is>
          <t>Live</t>
        </is>
      </c>
      <c r="E16" s="5" t="inlineStr">
        <is>
          <t>Enablement + Solutions Engineering</t>
        </is>
      </c>
      <c r="F16" t="b">
        <v>0</v>
      </c>
    </row>
    <row r="17">
      <c r="A17" t="inlineStr">
        <is>
          <t>Week 1</t>
        </is>
      </c>
      <c r="B17" s="12">
        <f>IF($B$5="","",$B$5+4)</f>
        <v/>
      </c>
      <c r="C17" s="5" t="inlineStr">
        <is>
          <t>Sales Tools &amp; Chrome Extensions</t>
        </is>
      </c>
      <c r="D17" t="inlineStr">
        <is>
          <t>Live</t>
        </is>
      </c>
      <c r="E17" s="5" t="inlineStr">
        <is>
          <t>J.J. Henry</t>
        </is>
      </c>
      <c r="F17" t="b">
        <v>0</v>
      </c>
    </row>
    <row r="18">
      <c r="A18" t="inlineStr">
        <is>
          <t>Week 1</t>
        </is>
      </c>
      <c r="B18" s="12">
        <f>IF($B$5="","",$B$5+4)</f>
        <v/>
      </c>
      <c r="C18" s="5" t="inlineStr">
        <is>
          <t>Finding answers: Highspot, Confluence &amp; Glean</t>
        </is>
      </c>
      <c r="D18" t="inlineStr">
        <is>
          <t>Live</t>
        </is>
      </c>
      <c r="E18" s="5" t="inlineStr">
        <is>
          <t>Enablement</t>
        </is>
      </c>
      <c r="F18" t="b">
        <v>0</v>
      </c>
    </row>
    <row r="19">
      <c r="A19" t="inlineStr">
        <is>
          <t>Week 1</t>
        </is>
      </c>
      <c r="B19" s="12">
        <f>IF($B$5="","",$B$5+4)</f>
        <v/>
      </c>
      <c r="C19" s="5" t="inlineStr">
        <is>
          <t>Office hours with the NORAM GM</t>
        </is>
      </c>
      <c r="D19" t="inlineStr">
        <is>
          <t>Live</t>
        </is>
      </c>
      <c r="E19" s="5" t="inlineStr">
        <is>
          <t>Zack Levine</t>
        </is>
      </c>
      <c r="F19" t="b">
        <v>0</v>
      </c>
    </row>
    <row r="20">
      <c r="A20" t="inlineStr">
        <is>
          <t>Week 1</t>
        </is>
      </c>
      <c r="B20" s="12">
        <f>IF($B$5="","",$B$5+4)</f>
        <v/>
      </c>
      <c r="C20" s="5" t="inlineStr">
        <is>
          <t>RevWay 0–1: Intro to Revenue Way &amp; Buyer Psychology</t>
        </is>
      </c>
      <c r="D20" t="inlineStr">
        <is>
          <t>Self-paced</t>
        </is>
      </c>
      <c r="E20" s="5" t="inlineStr">
        <is>
          <t>Self-directed</t>
        </is>
      </c>
      <c r="F20" t="b">
        <v>0</v>
      </c>
    </row>
    <row r="21">
      <c r="A21" t="inlineStr">
        <is>
          <t>Week 1</t>
        </is>
      </c>
      <c r="B21" s="12">
        <f>IF($B$5="","",$B$5+4)</f>
        <v/>
      </c>
      <c r="C21" s="5" t="inlineStr">
        <is>
          <t>Meet your pod + buddy coffee</t>
        </is>
      </c>
      <c r="D21" t="inlineStr">
        <is>
          <t>Practice</t>
        </is>
      </c>
      <c r="E21" s="5" t="inlineStr">
        <is>
          <t>Pod leader</t>
        </is>
      </c>
      <c r="F21" t="b">
        <v>0</v>
      </c>
    </row>
    <row r="22">
      <c r="A22" t="inlineStr">
        <is>
          <t>Week 2</t>
        </is>
      </c>
      <c r="B22" s="12">
        <f>IF($B$5="","",$B$5+11)</f>
        <v/>
      </c>
      <c r="C22" s="5" t="inlineStr">
        <is>
          <t>Buyer personas in payments (Head of Payments, CFO, CPO, Eng)</t>
        </is>
      </c>
      <c r="D22" t="inlineStr">
        <is>
          <t>Live</t>
        </is>
      </c>
      <c r="E22" s="5" t="inlineStr">
        <is>
          <t>J.J. Henry</t>
        </is>
      </c>
      <c r="F22" t="b">
        <v>0</v>
      </c>
    </row>
    <row r="23">
      <c r="A23" t="inlineStr">
        <is>
          <t>Week 2</t>
        </is>
      </c>
      <c r="B23" s="12">
        <f>IF($B$5="","",$B$5+11)</f>
        <v/>
      </c>
      <c r="C23" s="5" t="inlineStr">
        <is>
          <t>Competitive Landscape</t>
        </is>
      </c>
      <c r="D23" t="inlineStr">
        <is>
          <t>Live</t>
        </is>
      </c>
      <c r="E23" s="5" t="inlineStr">
        <is>
          <t>Michel Tornabene</t>
        </is>
      </c>
      <c r="F23" t="b">
        <v>0</v>
      </c>
    </row>
    <row r="24">
      <c r="A24" t="inlineStr">
        <is>
          <t>Week 2</t>
        </is>
      </c>
      <c r="B24" s="12">
        <f>IF($B$5="","",$B$5+11)</f>
        <v/>
      </c>
      <c r="C24" s="5" t="inlineStr">
        <is>
          <t>Territory planning (STP), Rules of Engagement &amp; Incentive Ratings</t>
        </is>
      </c>
      <c r="D24" t="inlineStr">
        <is>
          <t>Live</t>
        </is>
      </c>
      <c r="E24" s="5" t="inlineStr">
        <is>
          <t>Francesco Falcone</t>
        </is>
      </c>
      <c r="F24" t="b">
        <v>0</v>
      </c>
    </row>
    <row r="25">
      <c r="A25" t="inlineStr">
        <is>
          <t>Week 2</t>
        </is>
      </c>
      <c r="B25" s="12">
        <f>IF($B$5="","",$B$5+11)</f>
        <v/>
      </c>
      <c r="C25" s="5" t="inlineStr">
        <is>
          <t>Salesforce, Clari &amp; pipeline hygiene</t>
        </is>
      </c>
      <c r="D25" t="inlineStr">
        <is>
          <t>Live</t>
        </is>
      </c>
      <c r="E25" s="5" t="inlineStr">
        <is>
          <t>Francesco Falcone</t>
        </is>
      </c>
      <c r="F25" t="b">
        <v>0</v>
      </c>
    </row>
    <row r="26">
      <c r="A26" t="inlineStr">
        <is>
          <t>Week 2</t>
        </is>
      </c>
      <c r="B26" s="12">
        <f>IF($B$5="","",$B$5+11)</f>
        <v/>
      </c>
      <c r="C26" s="5" t="inlineStr">
        <is>
          <t>AI in Commercial</t>
        </is>
      </c>
      <c r="D26" t="inlineStr">
        <is>
          <t>Live</t>
        </is>
      </c>
      <c r="E26" s="5" t="inlineStr">
        <is>
          <t>Molly McKenna</t>
        </is>
      </c>
      <c r="F26" t="b">
        <v>0</v>
      </c>
    </row>
    <row r="27">
      <c r="A27" t="inlineStr">
        <is>
          <t>Week 2</t>
        </is>
      </c>
      <c r="B27" s="12">
        <f>IF($B$5="","",$B$5+11)</f>
        <v/>
      </c>
      <c r="C27" s="5" t="inlineStr">
        <is>
          <t>Meet the team: Sales, AM, Financial Partnerships, Partnerships, SE, RevOps</t>
        </is>
      </c>
      <c r="D27" t="inlineStr">
        <is>
          <t>Live</t>
        </is>
      </c>
      <c r="E27" s="5" t="inlineStr">
        <is>
          <t>Team leads</t>
        </is>
      </c>
      <c r="F27" t="b">
        <v>0</v>
      </c>
    </row>
    <row r="28">
      <c r="A28" t="inlineStr">
        <is>
          <t>Week 2</t>
        </is>
      </c>
      <c r="B28" s="12">
        <f>IF($B$5="","",$B$5+11)</f>
        <v/>
      </c>
      <c r="C28" s="5" t="inlineStr">
        <is>
          <t>Payments Academy: Foundations modules 1–5</t>
        </is>
      </c>
      <c r="D28" t="inlineStr">
        <is>
          <t>Self-paced</t>
        </is>
      </c>
      <c r="E28" s="5" t="inlineStr">
        <is>
          <t>Self-directed</t>
        </is>
      </c>
      <c r="F28" t="b">
        <v>0</v>
      </c>
    </row>
    <row r="29">
      <c r="A29" t="inlineStr">
        <is>
          <t>Week 2</t>
        </is>
      </c>
      <c r="B29" s="12">
        <f>IF($B$5="","",$B$5+11)</f>
        <v/>
      </c>
      <c r="C29" s="5" t="inlineStr">
        <is>
          <t>RevWay 2–3: DEPTH Selling &amp; Managing Pipeline</t>
        </is>
      </c>
      <c r="D29" t="inlineStr">
        <is>
          <t>Self-paced</t>
        </is>
      </c>
      <c r="E29" s="5" t="inlineStr">
        <is>
          <t>Self-directed</t>
        </is>
      </c>
      <c r="F29" t="b">
        <v>0</v>
      </c>
    </row>
    <row r="30">
      <c r="A30" t="inlineStr">
        <is>
          <t>Week 2</t>
        </is>
      </c>
      <c r="B30" s="12">
        <f>IF($B$5="","",$B$5+11)</f>
        <v/>
      </c>
      <c r="C30" s="5" t="inlineStr">
        <is>
          <t>Friday knowledge check (Kahoot, pod leads join), runs weekly</t>
        </is>
      </c>
      <c r="D30" t="inlineStr">
        <is>
          <t>Practice</t>
        </is>
      </c>
      <c r="E30" s="5" t="inlineStr">
        <is>
          <t>Enablement + pod leads</t>
        </is>
      </c>
      <c r="F30" t="b">
        <v>0</v>
      </c>
    </row>
    <row r="31">
      <c r="A31" t="inlineStr">
        <is>
          <t>Week 3</t>
        </is>
      </c>
      <c r="B31" s="12">
        <f>IF($B$5="","",$B$5+18)</f>
        <v/>
      </c>
      <c r="C31" s="5" t="inlineStr">
        <is>
          <t>Payments Academy: Foundations 6–10 + live debrief</t>
        </is>
      </c>
      <c r="D31" t="inlineStr">
        <is>
          <t>Self-paced</t>
        </is>
      </c>
      <c r="E31" s="5" t="inlineStr">
        <is>
          <t>Enablement</t>
        </is>
      </c>
      <c r="F31" t="b">
        <v>0</v>
      </c>
    </row>
    <row r="32">
      <c r="A32" t="inlineStr">
        <is>
          <t>Week 3</t>
        </is>
      </c>
      <c r="B32" s="12">
        <f>IF($B$5="","",$B$5+18)</f>
        <v/>
      </c>
      <c r="C32" s="5" t="inlineStr">
        <is>
          <t>Product Foundations: Connect &amp; Move</t>
        </is>
      </c>
      <c r="D32" t="inlineStr">
        <is>
          <t>Self-paced</t>
        </is>
      </c>
      <c r="E32" s="5" t="inlineStr">
        <is>
          <t>Self-directed</t>
        </is>
      </c>
      <c r="F32" t="b">
        <v>0</v>
      </c>
    </row>
    <row r="33">
      <c r="A33" t="inlineStr">
        <is>
          <t>Week 3</t>
        </is>
      </c>
      <c r="B33" s="12">
        <f>IF($B$5="","",$B$5+18)</f>
        <v/>
      </c>
      <c r="C33" s="5" t="inlineStr">
        <is>
          <t>Pillars in live deals: Connect &amp; Move (30 min each)</t>
        </is>
      </c>
      <c r="D33" t="inlineStr">
        <is>
          <t>Live</t>
        </is>
      </c>
      <c r="E33" s="5" t="inlineStr">
        <is>
          <t>Pod leads</t>
        </is>
      </c>
      <c r="F33" t="b">
        <v>0</v>
      </c>
    </row>
    <row r="34">
      <c r="A34" t="inlineStr">
        <is>
          <t>Week 3</t>
        </is>
      </c>
      <c r="B34" s="12">
        <f>IF($B$5="","",$B$5+18)</f>
        <v/>
      </c>
      <c r="C34" s="5" t="inlineStr">
        <is>
          <t>International Outlook: acquiring set-ups &amp; cross-border</t>
        </is>
      </c>
      <c r="D34" t="inlineStr">
        <is>
          <t>Live</t>
        </is>
      </c>
      <c r="E34" s="5" t="inlineStr">
        <is>
          <t>Michel Tornabene</t>
        </is>
      </c>
      <c r="F34" t="b">
        <v>0</v>
      </c>
    </row>
    <row r="35">
      <c r="A35" t="inlineStr">
        <is>
          <t>Week 3</t>
        </is>
      </c>
      <c r="B35" s="12">
        <f>IF($B$5="","",$B$5+18)</f>
        <v/>
      </c>
      <c r="C35" s="5" t="inlineStr">
        <is>
          <t>Commercial Risk</t>
        </is>
      </c>
      <c r="D35" t="inlineStr">
        <is>
          <t>Live</t>
        </is>
      </c>
      <c r="E35" s="5" t="inlineStr">
        <is>
          <t>Michel Tornabene</t>
        </is>
      </c>
      <c r="F35" t="b">
        <v>0</v>
      </c>
    </row>
    <row r="36">
      <c r="A36" t="inlineStr">
        <is>
          <t>Week 3</t>
        </is>
      </c>
      <c r="B36" s="12">
        <f>IF($B$5="","",$B$5+18)</f>
        <v/>
      </c>
      <c r="C36" s="5" t="inlineStr">
        <is>
          <t>Intro to NORAM verticals &amp; where we win</t>
        </is>
      </c>
      <c r="D36" t="inlineStr">
        <is>
          <t>Live</t>
        </is>
      </c>
      <c r="E36" s="5" t="inlineStr">
        <is>
          <t>Francesco Falcone</t>
        </is>
      </c>
      <c r="F36" t="b">
        <v>0</v>
      </c>
    </row>
    <row r="37">
      <c r="A37" t="inlineStr">
        <is>
          <t>Week 3</t>
        </is>
      </c>
      <c r="B37" s="12">
        <f>IF($B$5="","",$B$5+18)</f>
        <v/>
      </c>
      <c r="C37" s="5" t="inlineStr">
        <is>
          <t>Weekly call-review hour begins (Clari gametapes)</t>
        </is>
      </c>
      <c r="D37" t="inlineStr">
        <is>
          <t>Practice</t>
        </is>
      </c>
      <c r="E37" s="5" t="inlineStr">
        <is>
          <t>Jim Cho + Francesco Falcone</t>
        </is>
      </c>
      <c r="F37" t="b">
        <v>0</v>
      </c>
    </row>
    <row r="38">
      <c r="A38" t="inlineStr">
        <is>
          <t>Week 3</t>
        </is>
      </c>
      <c r="B38" s="12">
        <f>IF($B$5="","",$B$5+18)</f>
        <v/>
      </c>
      <c r="C38" s="5" t="inlineStr">
        <is>
          <t>Outreach lab: openers, email personalisation &amp; gatekeepers</t>
        </is>
      </c>
      <c r="D38" t="inlineStr">
        <is>
          <t>Live</t>
        </is>
      </c>
      <c r="E38" s="5" t="inlineStr">
        <is>
          <t>J.J. Henry</t>
        </is>
      </c>
      <c r="F38" t="b">
        <v>0</v>
      </c>
    </row>
    <row r="39">
      <c r="A39" t="inlineStr">
        <is>
          <t>Week 4</t>
        </is>
      </c>
      <c r="B39" s="12">
        <f>IF($B$5="","",$B$5+25)</f>
        <v/>
      </c>
      <c r="C39" s="5" t="inlineStr">
        <is>
          <t>Product Foundations: Protect, Boost &amp; Manage</t>
        </is>
      </c>
      <c r="D39" t="inlineStr">
        <is>
          <t>Self-paced</t>
        </is>
      </c>
      <c r="E39" s="5" t="inlineStr">
        <is>
          <t>Self-directed</t>
        </is>
      </c>
      <c r="F39" t="b">
        <v>0</v>
      </c>
    </row>
    <row r="40">
      <c r="A40" t="inlineStr">
        <is>
          <t>Week 4</t>
        </is>
      </c>
      <c r="B40" s="12">
        <f>IF($B$5="","",$B$5+25)</f>
        <v/>
      </c>
      <c r="C40" s="5" t="inlineStr">
        <is>
          <t>Pillars in live deals: Protect, Boost &amp; Manage</t>
        </is>
      </c>
      <c r="D40" t="inlineStr">
        <is>
          <t>Live</t>
        </is>
      </c>
      <c r="E40" s="5" t="inlineStr">
        <is>
          <t>Pod leads</t>
        </is>
      </c>
      <c r="F40" t="b">
        <v>0</v>
      </c>
    </row>
    <row r="41">
      <c r="A41" t="inlineStr">
        <is>
          <t>Week 4</t>
        </is>
      </c>
      <c r="B41" s="12">
        <f>IF($B$5="","",$B$5+25)</f>
        <v/>
      </c>
      <c r="C41" s="5" t="inlineStr">
        <is>
          <t>Payment Performance AMA (Boost)</t>
        </is>
      </c>
      <c r="D41" t="inlineStr">
        <is>
          <t>Live</t>
        </is>
      </c>
      <c r="E41" s="5" t="inlineStr">
        <is>
          <t>Daniel Linder</t>
        </is>
      </c>
      <c r="F41" t="b">
        <v>0</v>
      </c>
    </row>
    <row r="42">
      <c r="A42" t="inlineStr">
        <is>
          <t>Week 4</t>
        </is>
      </c>
      <c r="B42" s="12">
        <f>IF($B$5="","",$B$5+25)</f>
        <v/>
      </c>
      <c r="C42" s="5" t="inlineStr">
        <is>
          <t>Account list review: your Top 70</t>
        </is>
      </c>
      <c r="D42" t="inlineStr">
        <is>
          <t>Practice</t>
        </is>
      </c>
      <c r="E42" s="5" t="inlineStr">
        <is>
          <t>Line manager</t>
        </is>
      </c>
      <c r="F42" t="b">
        <v>0</v>
      </c>
    </row>
    <row r="43">
      <c r="A43" t="inlineStr">
        <is>
          <t>Week 4</t>
        </is>
      </c>
      <c r="B43" s="12">
        <f>IF($B$5="","",$B$5+25)</f>
        <v/>
      </c>
      <c r="C43" s="5" t="inlineStr">
        <is>
          <t>RevWay 4–5: Discovery &amp; Explore phases</t>
        </is>
      </c>
      <c r="D43" t="inlineStr">
        <is>
          <t>Self-paced</t>
        </is>
      </c>
      <c r="E43" s="5" t="inlineStr">
        <is>
          <t>Self-directed</t>
        </is>
      </c>
      <c r="F43" t="b">
        <v>0</v>
      </c>
    </row>
    <row r="44">
      <c r="A44" t="inlineStr">
        <is>
          <t>Week 4</t>
        </is>
      </c>
      <c r="B44" s="12">
        <f>IF($B$5="","",$B$5+25)</f>
        <v/>
      </c>
      <c r="C44" s="5" t="inlineStr">
        <is>
          <t>Cold-call role play</t>
        </is>
      </c>
      <c r="D44" t="inlineStr">
        <is>
          <t>Practice</t>
        </is>
      </c>
      <c r="E44" s="5" t="inlineStr">
        <is>
          <t>J.J. Henry</t>
        </is>
      </c>
      <c r="F44" t="b">
        <v>0</v>
      </c>
    </row>
    <row r="45">
      <c r="A45" t="inlineStr">
        <is>
          <t>Week 4</t>
        </is>
      </c>
      <c r="B45" s="12">
        <f>IF($B$5="","",$B$5+25)</f>
        <v/>
      </c>
      <c r="C45" s="5" t="inlineStr">
        <is>
          <t>Day 30 Checkpoint: elevator pitch + five-pillar knowledge check</t>
        </is>
      </c>
      <c r="D45" t="inlineStr">
        <is>
          <t>Certification</t>
        </is>
      </c>
      <c r="E45" s="5" t="inlineStr">
        <is>
          <t>Line manager + Enablement</t>
        </is>
      </c>
      <c r="F45" t="b">
        <v>0</v>
      </c>
    </row>
    <row r="46">
      <c r="A46" t="inlineStr">
        <is>
          <t>Week 5</t>
        </is>
      </c>
      <c r="B46" s="12">
        <f>IF($B$5="","",$B$5+32)</f>
        <v/>
      </c>
      <c r="C46" s="5" t="inlineStr">
        <is>
          <t>Vertical deep dives: Digital Content and Ecommerce</t>
        </is>
      </c>
      <c r="D46" t="inlineStr">
        <is>
          <t>Live</t>
        </is>
      </c>
      <c r="E46" s="5" t="inlineStr">
        <is>
          <t>Jules Gay / Katie Wile</t>
        </is>
      </c>
      <c r="F46" t="b">
        <v>0</v>
      </c>
    </row>
    <row r="47">
      <c r="A47" t="inlineStr">
        <is>
          <t>Week 5</t>
        </is>
      </c>
      <c r="B47" s="12">
        <f>IF($B$5="","",$B$5+32)</f>
        <v/>
      </c>
      <c r="C47" s="5" t="inlineStr">
        <is>
          <t>Vertical deep dives: Neobank &amp; Remittance (AFT/OCT), Consumer Lending &amp; Proptech</t>
        </is>
      </c>
      <c r="D47" t="inlineStr">
        <is>
          <t>Live</t>
        </is>
      </c>
      <c r="E47" s="5" t="inlineStr">
        <is>
          <t>Olivia Smith / Octavio Balcazar</t>
        </is>
      </c>
      <c r="F47" t="b">
        <v>0</v>
      </c>
    </row>
    <row r="48">
      <c r="A48" t="inlineStr">
        <is>
          <t>Week 5</t>
        </is>
      </c>
      <c r="B48" s="12">
        <f>IF($B$5="","",$B$5+32)</f>
        <v/>
      </c>
      <c r="C48" s="5" t="inlineStr">
        <is>
          <t>Intro to Deal Management &amp; Deal Desk</t>
        </is>
      </c>
      <c r="D48" t="inlineStr">
        <is>
          <t>Live</t>
        </is>
      </c>
      <c r="E48" s="5" t="inlineStr">
        <is>
          <t>Faith Bergman</t>
        </is>
      </c>
      <c r="F48" t="b">
        <v>0</v>
      </c>
    </row>
    <row r="49">
      <c r="A49" t="inlineStr">
        <is>
          <t>Week 5</t>
        </is>
      </c>
      <c r="B49" s="12">
        <f>IF($B$5="","",$B$5+32)</f>
        <v/>
      </c>
      <c r="C49" s="5" t="inlineStr">
        <is>
          <t>Partner ecosystem: who we sell with and how</t>
        </is>
      </c>
      <c r="D49" t="inlineStr">
        <is>
          <t>Live</t>
        </is>
      </c>
      <c r="E49" s="5" t="inlineStr">
        <is>
          <t>Jim Cho / Francesco Falcone / Jaime Yeager</t>
        </is>
      </c>
      <c r="F49" t="b">
        <v>0</v>
      </c>
    </row>
    <row r="50">
      <c r="A50" t="inlineStr">
        <is>
          <t>Week 5</t>
        </is>
      </c>
      <c r="B50" s="12">
        <f>IF($B$5="","",$B$5+32)</f>
        <v/>
      </c>
      <c r="C50" s="5" t="inlineStr">
        <is>
          <t>Build your prospecting cadence (Apollo)</t>
        </is>
      </c>
      <c r="D50" t="inlineStr">
        <is>
          <t>Practice</t>
        </is>
      </c>
      <c r="E50" s="5" t="inlineStr">
        <is>
          <t>Ronak Bali</t>
        </is>
      </c>
      <c r="F50" t="b">
        <v>0</v>
      </c>
    </row>
    <row r="51">
      <c r="A51" t="inlineStr">
        <is>
          <t>Week 6</t>
        </is>
      </c>
      <c r="B51" s="12">
        <f>IF($B$5="","",$B$5+39)</f>
        <v/>
      </c>
      <c r="C51" s="5" t="inlineStr">
        <is>
          <t>ISV, Marketplace &amp; MoR deep dive</t>
        </is>
      </c>
      <c r="D51" t="inlineStr">
        <is>
          <t>Live</t>
        </is>
      </c>
      <c r="E51" s="5" t="inlineStr">
        <is>
          <t>Michael Taylor</t>
        </is>
      </c>
      <c r="F51" t="b">
        <v>0</v>
      </c>
    </row>
    <row r="52">
      <c r="A52" t="inlineStr">
        <is>
          <t>Week 6</t>
        </is>
      </c>
      <c r="B52" s="12">
        <f>IF($B$5="","",$B$5+39)</f>
        <v/>
      </c>
      <c r="C52" s="5" t="inlineStr">
        <is>
          <t>Pay to Card, Pay to Bank &amp; FX</t>
        </is>
      </c>
      <c r="D52" t="inlineStr">
        <is>
          <t>Live</t>
        </is>
      </c>
      <c r="E52" s="5" t="inlineStr">
        <is>
          <t>Olivia Smith</t>
        </is>
      </c>
      <c r="F52" t="b">
        <v>0</v>
      </c>
    </row>
    <row r="53">
      <c r="A53" t="inlineStr">
        <is>
          <t>Week 6</t>
        </is>
      </c>
      <c r="B53" s="12">
        <f>IF($B$5="","",$B$5+39)</f>
        <v/>
      </c>
      <c r="C53" s="5" t="inlineStr">
        <is>
          <t>Visa Direct: AFTs &amp; card payouts</t>
        </is>
      </c>
      <c r="D53" t="inlineStr">
        <is>
          <t>Live</t>
        </is>
      </c>
      <c r="E53" s="5" t="inlineStr">
        <is>
          <t>Amber McClure</t>
        </is>
      </c>
      <c r="F53" t="b">
        <v>0</v>
      </c>
    </row>
    <row r="54">
      <c r="A54" t="inlineStr">
        <is>
          <t>Week 6</t>
        </is>
      </c>
      <c r="B54" s="12">
        <f>IF($B$5="","",$B$5+39)</f>
        <v/>
      </c>
      <c r="C54" s="5" t="inlineStr">
        <is>
          <t>Technical integration &amp; merchant onboarding experience</t>
        </is>
      </c>
      <c r="D54" t="inlineStr">
        <is>
          <t>Live</t>
        </is>
      </c>
      <c r="E54" s="5" t="inlineStr">
        <is>
          <t>Michael Taylor + Faith Bergman</t>
        </is>
      </c>
      <c r="F54" t="b">
        <v>0</v>
      </c>
    </row>
    <row r="55">
      <c r="A55" t="inlineStr">
        <is>
          <t>Week 6</t>
        </is>
      </c>
      <c r="B55" s="12">
        <f>IF($B$5="","",$B$5+39)</f>
        <v/>
      </c>
      <c r="C55" s="5" t="inlineStr">
        <is>
          <t>Underwriting overview</t>
        </is>
      </c>
      <c r="D55" t="inlineStr">
        <is>
          <t>Live</t>
        </is>
      </c>
      <c r="E55" s="5" t="inlineStr">
        <is>
          <t>Jack Pontarelli</t>
        </is>
      </c>
      <c r="F55" t="b">
        <v>0</v>
      </c>
    </row>
    <row r="56">
      <c r="A56" t="inlineStr">
        <is>
          <t>Week 6</t>
        </is>
      </c>
      <c r="B56" s="12">
        <f>IF($B$5="","",$B$5+39)</f>
        <v/>
      </c>
      <c r="C56" s="5" t="inlineStr">
        <is>
          <t>RevWay 6–7: Questioning, funnel technique &amp; listening</t>
        </is>
      </c>
      <c r="D56" t="inlineStr">
        <is>
          <t>Self-paced</t>
        </is>
      </c>
      <c r="E56" s="5" t="inlineStr">
        <is>
          <t>Self-directed</t>
        </is>
      </c>
      <c r="F56" t="b">
        <v>0</v>
      </c>
    </row>
    <row r="57">
      <c r="A57" t="inlineStr">
        <is>
          <t>Week 7</t>
        </is>
      </c>
      <c r="B57" s="12">
        <f>IF($B$5="","",$B$5+46)</f>
        <v/>
      </c>
      <c r="C57" s="5" t="inlineStr">
        <is>
          <t>Voice of the customer: Head of Payments panel</t>
        </is>
      </c>
      <c r="D57" t="inlineStr">
        <is>
          <t>Live</t>
        </is>
      </c>
      <c r="E57" s="5" t="inlineStr">
        <is>
          <t>Jaime Yeager / Jim Cho</t>
        </is>
      </c>
      <c r="F57" t="b">
        <v>0</v>
      </c>
    </row>
    <row r="58">
      <c r="A58" t="inlineStr">
        <is>
          <t>Week 7</t>
        </is>
      </c>
      <c r="B58" s="12">
        <f>IF($B$5="","",$B$5+46)</f>
        <v/>
      </c>
      <c r="C58" s="5" t="inlineStr">
        <is>
          <t>Top-rep Q&amp;A, every two weeks</t>
        </is>
      </c>
      <c r="D58" t="inlineStr">
        <is>
          <t>Live</t>
        </is>
      </c>
      <c r="E58" s="5" t="inlineStr">
        <is>
          <t>Sam Boukhiam / Louis Taupin</t>
        </is>
      </c>
      <c r="F58" t="b">
        <v>0</v>
      </c>
    </row>
    <row r="59">
      <c r="A59" t="inlineStr">
        <is>
          <t>Week 7</t>
        </is>
      </c>
      <c r="B59" s="12">
        <f>IF($B$5="","",$B$5+46)</f>
        <v/>
      </c>
      <c r="C59" s="5" t="inlineStr">
        <is>
          <t>Vertical deep dives: Insurance and Gaming &amp; Gambling</t>
        </is>
      </c>
      <c r="D59" t="inlineStr">
        <is>
          <t>Live</t>
        </is>
      </c>
      <c r="E59" s="5" t="inlineStr">
        <is>
          <t>Olivia Smith / Aaron Popack</t>
        </is>
      </c>
      <c r="F59" t="b">
        <v>0</v>
      </c>
    </row>
    <row r="60">
      <c r="A60" t="inlineStr">
        <is>
          <t>Week 7</t>
        </is>
      </c>
      <c r="B60" s="12">
        <f>IF($B$5="","",$B$5+46)</f>
        <v/>
      </c>
      <c r="C60" s="5" t="inlineStr">
        <is>
          <t>Canada &amp; the Canadian market</t>
        </is>
      </c>
      <c r="D60" t="inlineStr">
        <is>
          <t>Live</t>
        </is>
      </c>
      <c r="E60" s="5" t="inlineStr">
        <is>
          <t>Yousef Almawy</t>
        </is>
      </c>
      <c r="F60" t="b">
        <v>0</v>
      </c>
    </row>
    <row r="61">
      <c r="A61" t="inlineStr">
        <is>
          <t>Week 7</t>
        </is>
      </c>
      <c r="B61" s="12">
        <f>IF($B$5="","",$B$5+46)</f>
        <v/>
      </c>
      <c r="C61" s="5" t="inlineStr">
        <is>
          <t>Role play with your pod lead</t>
        </is>
      </c>
      <c r="D61" t="inlineStr">
        <is>
          <t>Practice</t>
        </is>
      </c>
      <c r="E61" s="5" t="inlineStr">
        <is>
          <t>Pod leads</t>
        </is>
      </c>
      <c r="F61" t="b">
        <v>0</v>
      </c>
    </row>
    <row r="62">
      <c r="A62" t="inlineStr">
        <is>
          <t>Week 8</t>
        </is>
      </c>
      <c r="B62" s="12">
        <f>IF($B$5="","",$B$5+53)</f>
        <v/>
      </c>
      <c r="C62" s="5" t="inlineStr">
        <is>
          <t>Competitive deal clinic + refreshed battlecards</t>
        </is>
      </c>
      <c r="D62" t="inlineStr">
        <is>
          <t>Live</t>
        </is>
      </c>
      <c r="E62" s="5" t="inlineStr">
        <is>
          <t>Jim Cho</t>
        </is>
      </c>
      <c r="F62" t="b">
        <v>0</v>
      </c>
    </row>
    <row r="63">
      <c r="A63" t="inlineStr">
        <is>
          <t>Week 8</t>
        </is>
      </c>
      <c r="B63" s="12">
        <f>IF($B$5="","",$B$5+53)</f>
        <v/>
      </c>
      <c r="C63" s="5" t="inlineStr">
        <is>
          <t>Payment performance metrics that matter (auth rates, declines, tokens, cost)</t>
        </is>
      </c>
      <c r="D63" t="inlineStr">
        <is>
          <t>Live</t>
        </is>
      </c>
      <c r="E63" s="5" t="inlineStr">
        <is>
          <t>Solutions Engineering + Product</t>
        </is>
      </c>
      <c r="F63" t="b">
        <v>0</v>
      </c>
    </row>
    <row r="64">
      <c r="A64" t="inlineStr">
        <is>
          <t>Week 8</t>
        </is>
      </c>
      <c r="B64" s="12">
        <f>IF($B$5="","",$B$5+53)</f>
        <v/>
      </c>
      <c r="C64" s="5" t="inlineStr">
        <is>
          <t>Explore call gametapes: what great sounds like</t>
        </is>
      </c>
      <c r="D64" t="inlineStr">
        <is>
          <t>Practice</t>
        </is>
      </c>
      <c r="E64" s="5" t="inlineStr">
        <is>
          <t>Jim Cho + Francesco Falcone</t>
        </is>
      </c>
      <c r="F64" t="b">
        <v>0</v>
      </c>
    </row>
    <row r="65">
      <c r="A65" t="inlineStr">
        <is>
          <t>Week 9</t>
        </is>
      </c>
      <c r="B65" s="12">
        <f>IF($B$5="","",$B$5+60)</f>
        <v/>
      </c>
      <c r="C65" s="5" t="inlineStr">
        <is>
          <t>Explore Call Masterclass: running discovery the Checkout way</t>
        </is>
      </c>
      <c r="D65" t="inlineStr">
        <is>
          <t>Live</t>
        </is>
      </c>
      <c r="E65" s="5" t="inlineStr">
        <is>
          <t>Enablement + top AE</t>
        </is>
      </c>
      <c r="F65" t="b">
        <v>0</v>
      </c>
    </row>
    <row r="66">
      <c r="A66" t="inlineStr">
        <is>
          <t>Week 9</t>
        </is>
      </c>
      <c r="B66" s="12">
        <f>IF($B$5="","",$B$5+60)</f>
        <v/>
      </c>
      <c r="C66" s="5" t="inlineStr">
        <is>
          <t>Payments discovery question bank &amp; value hypothesis</t>
        </is>
      </c>
      <c r="D66" t="inlineStr">
        <is>
          <t>Live</t>
        </is>
      </c>
      <c r="E66" s="5" t="inlineStr">
        <is>
          <t>Enablement + Solutions Engineering</t>
        </is>
      </c>
      <c r="F66" t="b">
        <v>0</v>
      </c>
    </row>
    <row r="67">
      <c r="A67" t="inlineStr">
        <is>
          <t>Week 9</t>
        </is>
      </c>
      <c r="B67" s="12">
        <f>IF($B$5="","",$B$5+60)</f>
        <v/>
      </c>
      <c r="C67" s="5" t="inlineStr">
        <is>
          <t>Explore role-play sprint</t>
        </is>
      </c>
      <c r="D67" t="inlineStr">
        <is>
          <t>Practice</t>
        </is>
      </c>
      <c r="E67" s="5" t="inlineStr">
        <is>
          <t>Pod leads + buddy</t>
        </is>
      </c>
      <c r="F67" t="b">
        <v>0</v>
      </c>
    </row>
    <row r="68">
      <c r="A68" t="inlineStr">
        <is>
          <t>Week 9</t>
        </is>
      </c>
      <c r="B68" s="12">
        <f>IF($B$5="","",$B$5+60)</f>
        <v/>
      </c>
      <c r="C68" s="5" t="inlineStr">
        <is>
          <t>★ Explore Call Certification</t>
        </is>
      </c>
      <c r="D68" t="inlineStr">
        <is>
          <t>Certification</t>
        </is>
      </c>
      <c r="E68" s="5" t="inlineStr">
        <is>
          <t>Pod lead + Enablement</t>
        </is>
      </c>
      <c r="F68" t="b">
        <v>0</v>
      </c>
    </row>
    <row r="69">
      <c r="A69" t="inlineStr">
        <is>
          <t>Week 9</t>
        </is>
      </c>
      <c r="B69" s="12">
        <f>IF($B$5="","",$B$5+60)</f>
        <v/>
      </c>
      <c r="C69" s="5" t="inlineStr">
        <is>
          <t>Day 60 review: pipeline, activity &amp; ramp check</t>
        </is>
      </c>
      <c r="D69" t="inlineStr">
        <is>
          <t>Practice</t>
        </is>
      </c>
      <c r="E69" s="5" t="inlineStr">
        <is>
          <t>Line manager</t>
        </is>
      </c>
      <c r="F69" t="b">
        <v>0</v>
      </c>
    </row>
    <row r="70">
      <c r="A70" t="inlineStr">
        <is>
          <t>Week 10</t>
        </is>
      </c>
      <c r="B70" s="12">
        <f>IF($B$5="","",$B$5+67)</f>
        <v/>
      </c>
      <c r="C70" s="5" t="inlineStr">
        <is>
          <t>Propose Masterclass</t>
        </is>
      </c>
      <c r="D70" t="inlineStr">
        <is>
          <t>Live</t>
        </is>
      </c>
      <c r="E70" s="5" t="inlineStr">
        <is>
          <t>Enablement</t>
        </is>
      </c>
      <c r="F70" t="b">
        <v>0</v>
      </c>
    </row>
    <row r="71">
      <c r="A71" t="inlineStr">
        <is>
          <t>Week 10</t>
        </is>
      </c>
      <c r="B71" s="12">
        <f>IF($B$5="","",$B$5+67)</f>
        <v/>
      </c>
      <c r="C71" s="5" t="inlineStr">
        <is>
          <t>Pricing guidance &amp; take rate</t>
        </is>
      </c>
      <c r="D71" t="inlineStr">
        <is>
          <t>Live</t>
        </is>
      </c>
      <c r="E71" s="5" t="inlineStr">
        <is>
          <t>Jim Cho + Francesco Falcone</t>
        </is>
      </c>
      <c r="F71" t="b">
        <v>0</v>
      </c>
    </row>
    <row r="72">
      <c r="A72" t="inlineStr">
        <is>
          <t>Week 10</t>
        </is>
      </c>
      <c r="B72" s="12">
        <f>IF($B$5="","",$B$5+67)</f>
        <v/>
      </c>
      <c r="C72" s="5" t="inlineStr">
        <is>
          <t>Pricing calculator walk-through (real deal example)</t>
        </is>
      </c>
      <c r="D72" t="inlineStr">
        <is>
          <t>Live</t>
        </is>
      </c>
      <c r="E72" s="5" t="inlineStr">
        <is>
          <t>Jim Cho</t>
        </is>
      </c>
      <c r="F72" t="b">
        <v>0</v>
      </c>
    </row>
    <row r="73">
      <c r="A73" t="inlineStr">
        <is>
          <t>Week 10</t>
        </is>
      </c>
      <c r="B73" s="12">
        <f>IF($B$5="","",$B$5+67)</f>
        <v/>
      </c>
      <c r="C73" s="5" t="inlineStr">
        <is>
          <t>AFT/OCT pricing calculator walk-through</t>
        </is>
      </c>
      <c r="D73" t="inlineStr">
        <is>
          <t>Live</t>
        </is>
      </c>
      <c r="E73" s="5" t="inlineStr">
        <is>
          <t>Vladimir Sterenko</t>
        </is>
      </c>
      <c r="F73" t="b">
        <v>0</v>
      </c>
    </row>
    <row r="74">
      <c r="A74" t="inlineStr">
        <is>
          <t>Week 10</t>
        </is>
      </c>
      <c r="B74" s="12">
        <f>IF($B$5="","",$B$5+67)</f>
        <v/>
      </c>
      <c r="C74" s="5" t="inlineStr">
        <is>
          <t>RevWay 8–9: Propose &amp; Presentation Skills</t>
        </is>
      </c>
      <c r="D74" t="inlineStr">
        <is>
          <t>Self-paced</t>
        </is>
      </c>
      <c r="E74" s="5" t="inlineStr">
        <is>
          <t>Self-directed</t>
        </is>
      </c>
      <c r="F74" t="b">
        <v>0</v>
      </c>
    </row>
    <row r="75">
      <c r="A75" t="inlineStr">
        <is>
          <t>Week 11</t>
        </is>
      </c>
      <c r="B75" s="12">
        <f>IF($B$5="","",$B$5+74)</f>
        <v/>
      </c>
      <c r="C75" s="5" t="inlineStr">
        <is>
          <t>Payments economics: interchange++, fee &amp; cost analysis</t>
        </is>
      </c>
      <c r="D75" t="inlineStr">
        <is>
          <t>Live</t>
        </is>
      </c>
      <c r="E75" s="5" t="inlineStr">
        <is>
          <t>Deal Management + Solutions Engineering</t>
        </is>
      </c>
      <c r="F75" t="b">
        <v>0</v>
      </c>
    </row>
    <row r="76">
      <c r="A76" t="inlineStr">
        <is>
          <t>Week 11</t>
        </is>
      </c>
      <c r="B76" s="12">
        <f>IF($B$5="","",$B$5+74)</f>
        <v/>
      </c>
      <c r="C76" s="5" t="inlineStr">
        <is>
          <t>Trade, deal structure &amp; negotiation case studies</t>
        </is>
      </c>
      <c r="D76" t="inlineStr">
        <is>
          <t>Live</t>
        </is>
      </c>
      <c r="E76" s="5" t="inlineStr">
        <is>
          <t>Pod lead (TBD)</t>
        </is>
      </c>
      <c r="F76" t="b">
        <v>0</v>
      </c>
    </row>
    <row r="77">
      <c r="A77" t="inlineStr">
        <is>
          <t>Week 11</t>
        </is>
      </c>
      <c r="B77" s="12">
        <f>IF($B$5="","",$B$5+74)</f>
        <v/>
      </c>
      <c r="C77" s="5" t="inlineStr">
        <is>
          <t>Underwriting from the UW lens + MAF &amp; questionnaires</t>
        </is>
      </c>
      <c r="D77" t="inlineStr">
        <is>
          <t>Live</t>
        </is>
      </c>
      <c r="E77" s="5" t="inlineStr">
        <is>
          <t>Jarett Israel + Rithvik Nair</t>
        </is>
      </c>
      <c r="F77" t="b">
        <v>0</v>
      </c>
    </row>
    <row r="78">
      <c r="A78" t="inlineStr">
        <is>
          <t>Week 11</t>
        </is>
      </c>
      <c r="B78" s="12">
        <f>IF($B$5="","",$B$5+74)</f>
        <v/>
      </c>
      <c r="C78" s="5" t="inlineStr">
        <is>
          <t>Objection handling drill + RevWay 10</t>
        </is>
      </c>
      <c r="D78" t="inlineStr">
        <is>
          <t>Practice</t>
        </is>
      </c>
      <c r="E78" s="5" t="inlineStr">
        <is>
          <t>Enablement</t>
        </is>
      </c>
      <c r="F78" t="b">
        <v>0</v>
      </c>
    </row>
    <row r="79">
      <c r="A79" t="inlineStr">
        <is>
          <t>Week 12</t>
        </is>
      </c>
      <c r="B79" s="12">
        <f>IF($B$5="","",$B$5+81)</f>
        <v/>
      </c>
      <c r="C79" s="5" t="inlineStr">
        <is>
          <t>How to ramp a merchant: what happens after 'yes'</t>
        </is>
      </c>
      <c r="D79" t="inlineStr">
        <is>
          <t>Live</t>
        </is>
      </c>
      <c r="E79" s="5" t="inlineStr">
        <is>
          <t>Nicholas Schaffer</t>
        </is>
      </c>
      <c r="F79" t="b">
        <v>0</v>
      </c>
    </row>
    <row r="80">
      <c r="A80" t="inlineStr">
        <is>
          <t>Week 12</t>
        </is>
      </c>
      <c r="B80" s="12">
        <f>IF($B$5="","",$B$5+81)</f>
        <v/>
      </c>
      <c r="C80" s="5" t="inlineStr">
        <is>
          <t>QBR walk-through</t>
        </is>
      </c>
      <c r="D80" t="inlineStr">
        <is>
          <t>Live</t>
        </is>
      </c>
      <c r="E80" s="5" t="inlineStr">
        <is>
          <t>Perrin Heyka</t>
        </is>
      </c>
      <c r="F80" t="b">
        <v>0</v>
      </c>
    </row>
    <row r="81">
      <c r="A81" t="inlineStr">
        <is>
          <t>Week 12</t>
        </is>
      </c>
      <c r="B81" s="12">
        <f>IF($B$5="","",$B$5+81)</f>
        <v/>
      </c>
      <c r="C81" s="5" t="inlineStr">
        <is>
          <t>MBO, quota mechanics &amp; your path to quota</t>
        </is>
      </c>
      <c r="D81" t="inlineStr">
        <is>
          <t>Live</t>
        </is>
      </c>
      <c r="E81" s="5" t="inlineStr">
        <is>
          <t>Francesco Falcone + Jim Cho</t>
        </is>
      </c>
      <c r="F81" t="b">
        <v>0</v>
      </c>
    </row>
    <row r="82">
      <c r="A82" t="inlineStr">
        <is>
          <t>Week 12</t>
        </is>
      </c>
      <c r="B82" s="12">
        <f>IF($B$5="","",$B$5+81)</f>
        <v/>
      </c>
      <c r="C82" s="5" t="inlineStr">
        <is>
          <t>Working with Marketing &amp; the Strategic Accounts Team</t>
        </is>
      </c>
      <c r="D82" t="inlineStr">
        <is>
          <t>Live</t>
        </is>
      </c>
      <c r="E82" s="5" t="inlineStr">
        <is>
          <t>Marketing + Cyril Chemla</t>
        </is>
      </c>
      <c r="F82" t="b">
        <v>0</v>
      </c>
    </row>
    <row r="83">
      <c r="A83" t="inlineStr">
        <is>
          <t>Week 13</t>
        </is>
      </c>
      <c r="B83" s="12">
        <f>IF($B$5="","",$B$5+88)</f>
        <v/>
      </c>
      <c r="C83" s="5" t="inlineStr">
        <is>
          <t>Storyline workshop: building a Checkout pitch deck</t>
        </is>
      </c>
      <c r="D83" t="inlineStr">
        <is>
          <t>Live</t>
        </is>
      </c>
      <c r="E83" s="5" t="inlineStr">
        <is>
          <t>Enablement + Product Marketing</t>
        </is>
      </c>
      <c r="F83" t="b">
        <v>0</v>
      </c>
    </row>
    <row r="84">
      <c r="A84" t="inlineStr">
        <is>
          <t>Week 13</t>
        </is>
      </c>
      <c r="B84" s="12">
        <f>IF($B$5="","",$B$5+88)</f>
        <v/>
      </c>
      <c r="C84" s="5" t="inlineStr">
        <is>
          <t>Business case lab: quantify the value</t>
        </is>
      </c>
      <c r="D84" t="inlineStr">
        <is>
          <t>Practice</t>
        </is>
      </c>
      <c r="E84" s="5" t="inlineStr">
        <is>
          <t>Solutions Engineering + Deal Management</t>
        </is>
      </c>
      <c r="F84" t="b">
        <v>0</v>
      </c>
    </row>
    <row r="85">
      <c r="A85" t="inlineStr">
        <is>
          <t>Week 13</t>
        </is>
      </c>
      <c r="B85" s="12">
        <f>IF($B$5="","",$B$5+88)</f>
        <v/>
      </c>
      <c r="C85" s="5" t="inlineStr">
        <is>
          <t>Deck peer review &amp; dry run</t>
        </is>
      </c>
      <c r="D85" t="inlineStr">
        <is>
          <t>Practice</t>
        </is>
      </c>
      <c r="E85" s="5" t="inlineStr">
        <is>
          <t>Buddy + pod</t>
        </is>
      </c>
      <c r="F85" t="b">
        <v>0</v>
      </c>
    </row>
    <row r="86">
      <c r="A86" t="inlineStr">
        <is>
          <t>Week 13</t>
        </is>
      </c>
      <c r="B86" s="12">
        <f>IF($B$5="","",$B$5+88)</f>
        <v/>
      </c>
      <c r="C86" s="5" t="inlineStr">
        <is>
          <t>★ Pitch Deck Certification</t>
        </is>
      </c>
      <c r="D86" t="inlineStr">
        <is>
          <t>Certification</t>
        </is>
      </c>
      <c r="E86" s="5" t="inlineStr">
        <is>
          <t>Panel: pod lead, SE, Enablement, guest leader</t>
        </is>
      </c>
      <c r="F86" t="b">
        <v>0</v>
      </c>
    </row>
    <row r="87">
      <c r="A87" t="inlineStr">
        <is>
          <t>Week 13</t>
        </is>
      </c>
      <c r="B87" s="12">
        <f>IF($B$5="","",$B$5+88)</f>
        <v/>
      </c>
      <c r="C87" s="5" t="inlineStr">
        <is>
          <t>Day 90 review &amp; graduation to everboarding</t>
        </is>
      </c>
      <c r="D87" t="inlineStr">
        <is>
          <t>Practice</t>
        </is>
      </c>
      <c r="E87" s="5" t="inlineStr">
        <is>
          <t>Line manager + Enablement</t>
        </is>
      </c>
      <c r="F87" t="b">
        <v>0</v>
      </c>
    </row>
  </sheetData>
  <conditionalFormatting sqref="A9:G87">
    <cfRule type="expression" priority="1" dxfId="0">
      <formula>$F9=TRUE</formula>
    </cfRule>
  </conditionalFormatting>
  <dataValidations count="1">
    <dataValidation sqref="F9:F87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8" customWidth="1" min="4" max="4"/>
  </cols>
  <sheetData>
    <row r="1">
      <c r="A1" s="2" t="inlineStr">
        <is>
          <t>Aim to finish within your first month. Adapted from the NY Sales Class repository and Karlie Chen's tracker; update names per cohort.</t>
        </is>
      </c>
    </row>
    <row r="3">
      <c r="A3" s="6" t="inlineStr">
        <is>
          <t>Priority</t>
        </is>
      </c>
      <c r="B3" s="6" t="inlineStr">
        <is>
          <t>Name</t>
        </is>
      </c>
      <c r="C3" s="6" t="inlineStr">
        <is>
          <t>Why</t>
        </is>
      </c>
      <c r="D3" s="6" t="inlineStr">
        <is>
          <t>Met?</t>
        </is>
      </c>
    </row>
    <row r="4">
      <c r="A4" s="7" t="inlineStr">
        <is>
          <t>P0</t>
        </is>
      </c>
      <c r="B4" s="7" t="inlineStr">
        <is>
          <t>Line manager &amp; buddy</t>
        </is>
      </c>
      <c r="C4" s="7" t="inlineStr">
        <is>
          <t>Your manager and day-to-day guide</t>
        </is>
      </c>
      <c r="D4" s="7" t="b">
        <v>0</v>
      </c>
    </row>
    <row r="5">
      <c r="A5" s="7" t="inlineStr">
        <is>
          <t>P0</t>
        </is>
      </c>
      <c r="B5" s="7" t="inlineStr">
        <is>
          <t>Jim Cho</t>
        </is>
      </c>
      <c r="C5" s="7" t="inlineStr">
        <is>
          <t>VP Sales</t>
        </is>
      </c>
      <c r="D5" s="7" t="b">
        <v>0</v>
      </c>
    </row>
    <row r="6">
      <c r="A6" s="7" t="inlineStr">
        <is>
          <t>P1</t>
        </is>
      </c>
      <c r="B6" s="7" t="inlineStr">
        <is>
          <t>Michel Tornabene</t>
        </is>
      </c>
      <c r="C6" s="7" t="inlineStr">
        <is>
          <t>Revenue Enablement</t>
        </is>
      </c>
      <c r="D6" s="7" t="b">
        <v>0</v>
      </c>
    </row>
    <row r="7">
      <c r="A7" s="7" t="inlineStr">
        <is>
          <t>P1</t>
        </is>
      </c>
      <c r="B7" s="7" t="inlineStr">
        <is>
          <t>Zack Levine</t>
        </is>
      </c>
      <c r="C7" s="7" t="inlineStr">
        <is>
          <t>NORAM GM</t>
        </is>
      </c>
      <c r="D7" s="7" t="b">
        <v>0</v>
      </c>
    </row>
    <row r="8">
      <c r="A8" s="7" t="inlineStr">
        <is>
          <t>P1</t>
        </is>
      </c>
      <c r="B8" s="7" t="inlineStr">
        <is>
          <t>Faith Bergman</t>
        </is>
      </c>
      <c r="C8" s="7" t="inlineStr">
        <is>
          <t>Deal Management lead</t>
        </is>
      </c>
      <c r="D8" s="7" t="b">
        <v>0</v>
      </c>
    </row>
    <row r="9">
      <c r="A9" s="7" t="inlineStr">
        <is>
          <t>P1</t>
        </is>
      </c>
      <c r="B9" s="7" t="inlineStr">
        <is>
          <t>Rithvik Nair</t>
        </is>
      </c>
      <c r="C9" s="7" t="inlineStr">
        <is>
          <t>Your Deal Management contact</t>
        </is>
      </c>
      <c r="D9" s="7" t="b">
        <v>0</v>
      </c>
    </row>
    <row r="10">
      <c r="A10" s="7" t="inlineStr">
        <is>
          <t>P1</t>
        </is>
      </c>
      <c r="B10" s="7" t="inlineStr">
        <is>
          <t>Sandra Suen</t>
        </is>
      </c>
      <c r="C10" s="7" t="inlineStr">
        <is>
          <t>BDR lead + RevOps strategy</t>
        </is>
      </c>
      <c r="D10" s="7" t="b">
        <v>0</v>
      </c>
    </row>
    <row r="11">
      <c r="A11" s="7" t="inlineStr">
        <is>
          <t>P1</t>
        </is>
      </c>
      <c r="B11" s="7" t="inlineStr">
        <is>
          <t>Jarett Israel + team</t>
        </is>
      </c>
      <c r="C11" s="7" t="inlineStr">
        <is>
          <t>Underwriting</t>
        </is>
      </c>
      <c r="D11" s="7" t="b">
        <v>0</v>
      </c>
    </row>
    <row r="12">
      <c r="A12" s="7" t="inlineStr">
        <is>
          <t>P1</t>
        </is>
      </c>
      <c r="B12" s="7" t="inlineStr">
        <is>
          <t>Jaime Yeager / Louis Taupin / Luke Brauer</t>
        </is>
      </c>
      <c r="C12" s="7" t="inlineStr">
        <is>
          <t>Pod leaders (ATL / SF / NY)</t>
        </is>
      </c>
      <c r="D12" s="7" t="b">
        <v>0</v>
      </c>
    </row>
    <row r="13">
      <c r="A13" s="7" t="inlineStr">
        <is>
          <t>P1</t>
        </is>
      </c>
      <c r="B13" s="7" t="inlineStr">
        <is>
          <t>Matt Baum, Mike O'Connor &amp; Ezra Cohen</t>
        </is>
      </c>
      <c r="C13" s="7" t="inlineStr">
        <is>
          <t>Financial Partnerships</t>
        </is>
      </c>
      <c r="D13" s="7" t="b">
        <v>0</v>
      </c>
    </row>
    <row r="14">
      <c r="A14" s="7" t="inlineStr">
        <is>
          <t>P1</t>
        </is>
      </c>
      <c r="B14" s="7" t="inlineStr">
        <is>
          <t>Cyril Chemla</t>
        </is>
      </c>
      <c r="C14" s="7" t="inlineStr">
        <is>
          <t>Strategic Accounts Team</t>
        </is>
      </c>
      <c r="D14" s="7" t="b">
        <v>0</v>
      </c>
    </row>
    <row r="15">
      <c r="A15" s="7" t="inlineStr">
        <is>
          <t>P2</t>
        </is>
      </c>
      <c r="B15" s="7" t="inlineStr">
        <is>
          <t>Michael Taylor</t>
        </is>
      </c>
      <c r="C15" s="7" t="inlineStr">
        <is>
          <t>TAM &amp; SE lead</t>
        </is>
      </c>
      <c r="D15" s="7" t="b">
        <v>0</v>
      </c>
    </row>
    <row r="16">
      <c r="A16" s="7" t="inlineStr">
        <is>
          <t>P2</t>
        </is>
      </c>
      <c r="B16" s="7" t="inlineStr">
        <is>
          <t>Jeff Schmidt</t>
        </is>
      </c>
      <c r="C16" s="7" t="inlineStr">
        <is>
          <t>Sales Engineering lead</t>
        </is>
      </c>
      <c r="D16" s="7" t="b">
        <v>0</v>
      </c>
    </row>
    <row r="17">
      <c r="A17" s="7" t="inlineStr">
        <is>
          <t>P2</t>
        </is>
      </c>
      <c r="B17" s="7" t="inlineStr">
        <is>
          <t>Adam Manassero / Perrin Heyka</t>
        </is>
      </c>
      <c r="C17" s="7" t="inlineStr">
        <is>
          <t>Account Management</t>
        </is>
      </c>
      <c r="D17" s="7" t="b">
        <v>0</v>
      </c>
    </row>
    <row r="18">
      <c r="A18" s="7" t="inlineStr">
        <is>
          <t>P2</t>
        </is>
      </c>
      <c r="B18" s="7" t="inlineStr">
        <is>
          <t>Ginny Huber / Phoebe Caine</t>
        </is>
      </c>
      <c r="C18" s="7" t="inlineStr">
        <is>
          <t>Partnerships</t>
        </is>
      </c>
      <c r="D18" s="7" t="b">
        <v>0</v>
      </c>
    </row>
    <row r="19">
      <c r="A19" s="7" t="inlineStr">
        <is>
          <t>P2</t>
        </is>
      </c>
      <c r="B19" s="7" t="inlineStr">
        <is>
          <t>Marketing team</t>
        </is>
      </c>
      <c r="C19" s="7" t="inlineStr">
        <is>
          <t>Local marketing</t>
        </is>
      </c>
      <c r="D19" s="7" t="b">
        <v>0</v>
      </c>
    </row>
    <row r="20">
      <c r="A20" s="7" t="inlineStr">
        <is>
          <t>P2</t>
        </is>
      </c>
      <c r="B20" s="7" t="inlineStr">
        <is>
          <t>Max Totilo</t>
        </is>
      </c>
      <c r="C20" s="7" t="inlineStr">
        <is>
          <t>US Compliance</t>
        </is>
      </c>
      <c r="D20" s="7" t="b">
        <v>0</v>
      </c>
    </row>
    <row r="21">
      <c r="A21" s="7" t="inlineStr">
        <is>
          <t>P3</t>
        </is>
      </c>
      <c r="B21" s="7" t="inlineStr">
        <is>
          <t>Sam Boukhiam</t>
        </is>
      </c>
      <c r="C21" s="7" t="inlineStr">
        <is>
          <t>Top rep: tips &amp; tricks</t>
        </is>
      </c>
      <c r="D21" s="7" t="b">
        <v>0</v>
      </c>
    </row>
  </sheetData>
  <autoFilter ref="A3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2026-10-01T19:17:16Z</dcterms:created>
  <dcterms:modified xsi:type="dcterms:W3CDTF">2026-10-01T19:17:16Z</dcterms:modified>
</cp:coreProperties>
</file>